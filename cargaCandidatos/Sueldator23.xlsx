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/>
  <xr:revisionPtr revIDLastSave="0" documentId="8_{079C7C9F-F51D-F84D-BD53-F49703419D65}" xr6:coauthVersionLast="47" xr6:coauthVersionMax="47" xr10:uidLastSave="{00000000-0000-0000-0000-000000000000}"/>
  <bookViews>
    <workbookView xWindow="-120" yWindow="-120" windowWidth="19440" windowHeight="11160" activeTab="5" xr2:uid="{00000000-000D-0000-FFFF-FFFF00000000}"/>
  </bookViews>
  <sheets>
    <sheet name="2016" sheetId="8" r:id="rId1"/>
    <sheet name="2017" sheetId="9" r:id="rId2"/>
    <sheet name="2018" sheetId="10" r:id="rId3"/>
    <sheet name="2019" sheetId="12" r:id="rId4"/>
    <sheet name="2020" sheetId="13" r:id="rId5"/>
    <sheet name="2022" sheetId="14" r:id="rId6"/>
    <sheet name="2023 0,5" sheetId="1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5" l="1"/>
  <c r="E11" i="15"/>
  <c r="D11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E7" i="15"/>
  <c r="E14" i="15"/>
  <c r="D7" i="15"/>
  <c r="D15" i="15"/>
  <c r="C7" i="15"/>
  <c r="B7" i="15"/>
  <c r="B17" i="15"/>
  <c r="C15" i="15"/>
  <c r="C14" i="15"/>
  <c r="B14" i="15"/>
  <c r="E15" i="15"/>
  <c r="E18" i="15"/>
  <c r="C17" i="15"/>
  <c r="B15" i="15"/>
  <c r="D17" i="15"/>
  <c r="D14" i="15"/>
  <c r="D18" i="15"/>
  <c r="E17" i="15"/>
  <c r="E11" i="14"/>
  <c r="D11" i="14"/>
  <c r="C11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E7" i="14"/>
  <c r="E17" i="14"/>
  <c r="D7" i="14"/>
  <c r="D17" i="14"/>
  <c r="C7" i="14"/>
  <c r="C17" i="14"/>
  <c r="B7" i="14"/>
  <c r="B15" i="14"/>
  <c r="E7" i="13"/>
  <c r="E14" i="13"/>
  <c r="D7" i="13"/>
  <c r="D14" i="13"/>
  <c r="C7" i="13"/>
  <c r="C17" i="13"/>
  <c r="B7" i="13"/>
  <c r="B14" i="13"/>
  <c r="C18" i="15"/>
  <c r="B18" i="15"/>
  <c r="B14" i="14"/>
  <c r="B18" i="14"/>
  <c r="C14" i="14"/>
  <c r="C15" i="14"/>
  <c r="B17" i="14"/>
  <c r="D14" i="14"/>
  <c r="D15" i="14"/>
  <c r="E14" i="14"/>
  <c r="E15" i="14"/>
  <c r="B15" i="13"/>
  <c r="B18" i="13"/>
  <c r="C15" i="13"/>
  <c r="E17" i="13"/>
  <c r="B17" i="13"/>
  <c r="D17" i="13"/>
  <c r="D15" i="13"/>
  <c r="D18" i="13"/>
  <c r="C14" i="13"/>
  <c r="E15" i="13"/>
  <c r="E18" i="13"/>
  <c r="C18" i="14"/>
  <c r="E18" i="14"/>
  <c r="D18" i="14"/>
  <c r="C18" i="13"/>
  <c r="B7" i="12"/>
  <c r="B14" i="12"/>
  <c r="C7" i="12"/>
  <c r="D7" i="12"/>
  <c r="D14" i="12"/>
  <c r="E7" i="12"/>
  <c r="E17" i="12"/>
  <c r="E15" i="12"/>
  <c r="E14" i="12"/>
  <c r="B17" i="12"/>
  <c r="B15" i="12"/>
  <c r="C15" i="12"/>
  <c r="C17" i="12"/>
  <c r="C14" i="12"/>
  <c r="C18" i="12"/>
  <c r="D15" i="12"/>
  <c r="D17" i="12"/>
  <c r="E8" i="10"/>
  <c r="D8" i="10"/>
  <c r="C8" i="10"/>
  <c r="B8" i="10"/>
  <c r="D18" i="12"/>
  <c r="B18" i="12"/>
  <c r="E18" i="12"/>
  <c r="B18" i="10"/>
  <c r="C18" i="10"/>
  <c r="E18" i="10"/>
  <c r="E16" i="10"/>
  <c r="C16" i="10"/>
  <c r="B16" i="10"/>
  <c r="D16" i="10"/>
  <c r="D18" i="10"/>
  <c r="B15" i="10"/>
  <c r="B19" i="10"/>
  <c r="C15" i="10"/>
  <c r="C19" i="10"/>
  <c r="D15" i="10"/>
  <c r="E15" i="10"/>
  <c r="E19" i="10"/>
  <c r="E8" i="9"/>
  <c r="E16" i="9"/>
  <c r="D8" i="9"/>
  <c r="D16" i="9"/>
  <c r="C8" i="9"/>
  <c r="C16" i="9"/>
  <c r="B8" i="9"/>
  <c r="B16" i="9"/>
  <c r="E8" i="8"/>
  <c r="E16" i="8"/>
  <c r="D8" i="8"/>
  <c r="D15" i="8"/>
  <c r="C8" i="8"/>
  <c r="C15" i="8"/>
  <c r="B8" i="8"/>
  <c r="B15" i="8"/>
  <c r="D19" i="10"/>
  <c r="B15" i="9"/>
  <c r="D15" i="9"/>
  <c r="C15" i="9"/>
  <c r="E15" i="9"/>
  <c r="E15" i="8"/>
  <c r="D16" i="8"/>
  <c r="B16" i="8"/>
  <c r="C16" i="8"/>
</calcChain>
</file>

<file path=xl/sharedStrings.xml><?xml version="1.0" encoding="utf-8"?>
<sst xmlns="http://schemas.openxmlformats.org/spreadsheetml/2006/main" count="296" uniqueCount="30">
  <si>
    <t>Base Mensual</t>
  </si>
  <si>
    <t>Base Extra</t>
  </si>
  <si>
    <t>Complemento Específico Anual</t>
  </si>
  <si>
    <t>Complemento Destino Anual</t>
  </si>
  <si>
    <t>Complemento Productividad Anual</t>
  </si>
  <si>
    <t>Trienio Mensual</t>
  </si>
  <si>
    <t>Trienio Extra</t>
  </si>
  <si>
    <t>Cantidad de Trienios</t>
  </si>
  <si>
    <t>Salario Mensual Neto (x12):</t>
  </si>
  <si>
    <t>Retención IRPF (0 a 100)</t>
  </si>
  <si>
    <t>Paga Extra Neta (x2):</t>
  </si>
  <si>
    <t>A1</t>
  </si>
  <si>
    <t>A2</t>
  </si>
  <si>
    <t>C1</t>
  </si>
  <si>
    <t>NIVEL</t>
  </si>
  <si>
    <t>COMPLEMENTO DE DESTINO</t>
  </si>
  <si>
    <r>
      <t xml:space="preserve">A1 - </t>
    </r>
    <r>
      <rPr>
        <b/>
        <sz val="11"/>
        <color rgb="FF00B050"/>
        <rFont val="Calibri"/>
        <family val="2"/>
        <scheme val="minor"/>
      </rPr>
      <t>A2</t>
    </r>
  </si>
  <si>
    <r>
      <rPr>
        <b/>
        <sz val="11"/>
        <color theme="4"/>
        <rFont val="Calibri"/>
        <family val="2"/>
        <scheme val="minor"/>
      </rPr>
      <t>A1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rgb="FF00B050"/>
        <rFont val="Calibri"/>
        <family val="2"/>
        <scheme val="minor"/>
      </rPr>
      <t>A2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theme="5"/>
        <rFont val="Calibri"/>
        <family val="2"/>
        <scheme val="minor"/>
      </rPr>
      <t>C1</t>
    </r>
  </si>
  <si>
    <r>
      <rPr>
        <b/>
        <sz val="11"/>
        <color rgb="FF00B050"/>
        <rFont val="Calibri"/>
        <family val="2"/>
        <scheme val="minor"/>
      </rPr>
      <t>A2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theme="5"/>
        <rFont val="Calibri"/>
        <family val="2"/>
        <scheme val="minor"/>
      </rPr>
      <t>C1</t>
    </r>
  </si>
  <si>
    <t>Nivel</t>
  </si>
  <si>
    <t>Cotización Seguridad Social*</t>
  </si>
  <si>
    <t>*SS Solo se descuenta en 12 pagas pero tiene en cuenta el prorrateo de las extras</t>
  </si>
  <si>
    <t>Cuota MUFACE</t>
  </si>
  <si>
    <t>C2</t>
  </si>
  <si>
    <r>
      <rPr>
        <b/>
        <sz val="11"/>
        <color rgb="FF00B050"/>
        <rFont val="Calibri"/>
        <family val="2"/>
        <scheme val="minor"/>
      </rPr>
      <t>A2</t>
    </r>
    <r>
      <rPr>
        <b/>
        <sz val="11"/>
        <color theme="1"/>
        <rFont val="Calibri"/>
        <family val="2"/>
        <scheme val="minor"/>
      </rPr>
      <t xml:space="preserve"> - </t>
    </r>
    <r>
      <rPr>
        <b/>
        <sz val="11"/>
        <color theme="5"/>
        <rFont val="Calibri"/>
        <family val="2"/>
        <scheme val="minor"/>
      </rPr>
      <t xml:space="preserve">C1 </t>
    </r>
    <r>
      <rPr>
        <b/>
        <sz val="11"/>
        <rFont val="Calibri"/>
        <family val="2"/>
        <scheme val="minor"/>
      </rPr>
      <t xml:space="preserve"> -</t>
    </r>
    <r>
      <rPr>
        <b/>
        <sz val="11"/>
        <color rgb="FF002060"/>
        <rFont val="Calibri"/>
        <family val="2"/>
        <scheme val="minor"/>
      </rPr>
      <t xml:space="preserve"> C2</t>
    </r>
  </si>
  <si>
    <r>
      <t xml:space="preserve">C1 </t>
    </r>
    <r>
      <rPr>
        <b/>
        <sz val="11"/>
        <rFont val="Calibri"/>
        <family val="2"/>
        <scheme val="minor"/>
      </rPr>
      <t>-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002060"/>
        <rFont val="Calibri"/>
        <family val="2"/>
        <scheme val="minor"/>
      </rPr>
      <t>C2</t>
    </r>
  </si>
  <si>
    <t>COMPLEMENTO ESPECÍFICO</t>
  </si>
  <si>
    <t>Bruto anual:</t>
  </si>
  <si>
    <t>Neto anual:</t>
  </si>
  <si>
    <r>
      <rPr>
        <b/>
        <sz val="11"/>
        <color theme="5"/>
        <rFont val="Calibri"/>
        <family val="2"/>
        <scheme val="minor"/>
      </rPr>
      <t xml:space="preserve">C1 </t>
    </r>
    <r>
      <rPr>
        <b/>
        <sz val="11"/>
        <rFont val="Calibri"/>
        <family val="2"/>
        <scheme val="minor"/>
      </rPr>
      <t xml:space="preserve"> -</t>
    </r>
    <r>
      <rPr>
        <b/>
        <sz val="11"/>
        <color rgb="FF002060"/>
        <rFont val="Calibri"/>
        <family val="2"/>
        <scheme val="minor"/>
      </rPr>
      <t xml:space="preserve"> C2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</si>
</sst>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0CECE"/>
        <bgColor rgb="FFD0CE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8" fontId="2" fillId="2" borderId="0" xfId="0" applyNumberFormat="1" applyFont="1" applyFill="1" applyAlignment="1">
      <alignment horizontal="center"/>
    </xf>
    <xf numFmtId="8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8" fontId="0" fillId="0" borderId="0" xfId="1" applyNumberFormat="1" applyFont="1" applyAlignment="1">
      <alignment horizontal="center" vertical="center"/>
    </xf>
    <xf numFmtId="8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8" fontId="3" fillId="0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8" fontId="10" fillId="4" borderId="0" xfId="0" applyNumberFormat="1" applyFont="1" applyFill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8" fontId="11" fillId="0" borderId="0" xfId="0" applyNumberFormat="1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K111"/>
  <sheetViews>
    <sheetView workbookViewId="0">
      <selection activeCell="D10" sqref="D10"/>
    </sheetView>
  </sheetViews>
  <sheetFormatPr defaultColWidth="10.76171875" defaultRowHeight="15" x14ac:dyDescent="0.2"/>
  <cols>
    <col min="1" max="1" width="33.2265625" customWidth="1"/>
    <col min="2" max="4" width="13.1796875" bestFit="1" customWidth="1"/>
    <col min="5" max="5" width="13.1796875" customWidth="1"/>
    <col min="6" max="6" width="4.5703125" customWidth="1"/>
    <col min="7" max="7" width="9.28125" customWidth="1"/>
    <col min="8" max="8" width="26.36328125" bestFit="1" customWidth="1"/>
    <col min="11" max="11" width="25.55859375" customWidth="1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G1" s="1" t="s">
        <v>14</v>
      </c>
      <c r="H1" s="1" t="s">
        <v>15</v>
      </c>
      <c r="I1" s="1"/>
      <c r="J1" s="1"/>
      <c r="K1" s="1" t="s">
        <v>26</v>
      </c>
    </row>
    <row r="2" spans="1:11" x14ac:dyDescent="0.2">
      <c r="A2" s="4" t="s">
        <v>7</v>
      </c>
      <c r="B2" s="2">
        <v>0</v>
      </c>
      <c r="C2" s="2">
        <v>0</v>
      </c>
      <c r="D2" s="2">
        <v>0</v>
      </c>
      <c r="E2" s="2">
        <v>0</v>
      </c>
      <c r="G2" s="11">
        <v>30</v>
      </c>
      <c r="H2" s="5">
        <v>13698.16</v>
      </c>
      <c r="I2" s="10" t="s">
        <v>11</v>
      </c>
      <c r="J2" s="5"/>
      <c r="K2" s="14">
        <v>29031.1</v>
      </c>
    </row>
    <row r="3" spans="1:11" x14ac:dyDescent="0.2">
      <c r="A3" s="4" t="s">
        <v>0</v>
      </c>
      <c r="B3" s="7">
        <v>1120.1500000000001</v>
      </c>
      <c r="C3" s="7">
        <v>968.57</v>
      </c>
      <c r="D3" s="7">
        <v>727.23</v>
      </c>
      <c r="E3" s="7">
        <v>605.25</v>
      </c>
      <c r="G3" s="11">
        <v>29</v>
      </c>
      <c r="H3" s="5">
        <v>12286.68</v>
      </c>
      <c r="I3" s="10" t="s">
        <v>11</v>
      </c>
      <c r="J3" s="5"/>
      <c r="K3" s="14">
        <v>28139.58</v>
      </c>
    </row>
    <row r="4" spans="1:11" x14ac:dyDescent="0.2">
      <c r="A4" s="4" t="s">
        <v>5</v>
      </c>
      <c r="B4" s="7">
        <v>43.08</v>
      </c>
      <c r="C4" s="7">
        <v>35.119999999999997</v>
      </c>
      <c r="D4" s="7">
        <v>26.58</v>
      </c>
      <c r="E4" s="7">
        <v>18.079999999999998</v>
      </c>
      <c r="G4" s="11">
        <v>28</v>
      </c>
      <c r="H4" s="5">
        <v>11770.22</v>
      </c>
      <c r="I4" s="10" t="s">
        <v>11</v>
      </c>
      <c r="J4" s="5"/>
      <c r="K4" s="14">
        <v>26357.52</v>
      </c>
    </row>
    <row r="5" spans="1:11" x14ac:dyDescent="0.2">
      <c r="A5" s="4" t="s">
        <v>1</v>
      </c>
      <c r="B5" s="7">
        <v>691.21</v>
      </c>
      <c r="C5" s="7">
        <v>706.38</v>
      </c>
      <c r="D5" s="7">
        <v>628.53</v>
      </c>
      <c r="E5" s="7">
        <v>599.73</v>
      </c>
      <c r="G5" s="11">
        <v>27</v>
      </c>
      <c r="H5" s="5">
        <v>11239.34</v>
      </c>
      <c r="I5" s="10" t="s">
        <v>11</v>
      </c>
      <c r="J5" s="5"/>
      <c r="K5" s="14">
        <v>24575.88</v>
      </c>
    </row>
    <row r="6" spans="1:11" x14ac:dyDescent="0.2">
      <c r="A6" s="4" t="s">
        <v>6</v>
      </c>
      <c r="B6" s="7">
        <v>26.58</v>
      </c>
      <c r="C6" s="7">
        <v>25.61</v>
      </c>
      <c r="D6" s="7">
        <v>22.96</v>
      </c>
      <c r="E6" s="7">
        <v>17.91</v>
      </c>
      <c r="G6" s="11">
        <v>26</v>
      </c>
      <c r="H6" s="5">
        <v>9872.66</v>
      </c>
      <c r="I6" s="10" t="s">
        <v>16</v>
      </c>
      <c r="J6" s="5"/>
      <c r="K6" s="14">
        <v>23684.36</v>
      </c>
    </row>
    <row r="7" spans="1:11" x14ac:dyDescent="0.2">
      <c r="A7" s="4" t="s">
        <v>19</v>
      </c>
      <c r="B7" s="11">
        <v>22</v>
      </c>
      <c r="C7" s="11">
        <v>18</v>
      </c>
      <c r="D7" s="11">
        <v>15</v>
      </c>
      <c r="E7" s="11">
        <v>14</v>
      </c>
      <c r="G7" s="11">
        <v>25</v>
      </c>
      <c r="H7" s="5">
        <v>8759.3799999999992</v>
      </c>
      <c r="I7" s="10" t="s">
        <v>16</v>
      </c>
      <c r="J7" s="5"/>
      <c r="K7" s="14">
        <v>22496.32</v>
      </c>
    </row>
    <row r="8" spans="1:11" x14ac:dyDescent="0.2">
      <c r="A8" s="4" t="s">
        <v>3</v>
      </c>
      <c r="B8" s="12">
        <f>IF(B7=30,H2,(IF(B7=29,H3,(IF(B7=28,H4,(IF(B7=27,H5,(IF(B7=26,H6,(IF(B7=25,H7,(IF(B7=24,H8,(IF(B7=23,H9,(IF(B7=22,H10,"Nivel Erróneo")))))))))))))))))</f>
        <v>7209.16</v>
      </c>
      <c r="C8" s="12">
        <f>IF(C7=26,H6,(IF(C7=25,H7,(IF(C7=24,H8,(IF(C7=23,H9,(IF(C7=22,H10,(IF(C7=21,H11,(IF(C7=20,H12,(IF(C7=19,H13,(IF(C7=18,H14,"Nivel Erróneo")))))))))))))))))</f>
        <v>5582.36</v>
      </c>
      <c r="D8" s="12">
        <f>IF(D7=22,H10,(IF(D7=21,H11,(IF(D7=20,H12,(IF(D7=19,H13,(IF(D7=18,H14,(IF(D7=17,H15,(IF(D7=16,H16,(IF(D7=15,H17,"Nivel Erróneo")))))))))))))))</f>
        <v>4630.08</v>
      </c>
      <c r="E8" s="12">
        <f>IF(E7=18,H14,(IF(E7=17,H15,(IF(E7=16,H16,(IF(E7=15,H17,(IF(E7=14,H18,"NivelErróneo")))))))))</f>
        <v>4312.9799999999996</v>
      </c>
      <c r="G8" s="11">
        <v>24</v>
      </c>
      <c r="H8" s="5">
        <v>8242.5</v>
      </c>
      <c r="I8" s="10" t="s">
        <v>16</v>
      </c>
      <c r="J8" s="5"/>
      <c r="K8" s="14">
        <v>21308.14</v>
      </c>
    </row>
    <row r="9" spans="1:11" x14ac:dyDescent="0.2">
      <c r="A9" s="4" t="s">
        <v>2</v>
      </c>
      <c r="B9" s="2">
        <v>6889.82</v>
      </c>
      <c r="C9" s="2">
        <v>5208.7</v>
      </c>
      <c r="D9" s="2">
        <v>3410.4</v>
      </c>
      <c r="E9" s="2">
        <v>3148.32</v>
      </c>
      <c r="G9" s="11">
        <v>23</v>
      </c>
      <c r="H9" s="5">
        <v>7726.32</v>
      </c>
      <c r="I9" s="10" t="s">
        <v>16</v>
      </c>
      <c r="J9" s="5"/>
      <c r="K9" s="14">
        <v>19823.16</v>
      </c>
    </row>
    <row r="10" spans="1:11" x14ac:dyDescent="0.2">
      <c r="A10" s="4" t="s">
        <v>4</v>
      </c>
      <c r="B10" s="2">
        <v>0</v>
      </c>
      <c r="C10" s="2">
        <v>0</v>
      </c>
      <c r="D10" s="2">
        <v>0</v>
      </c>
      <c r="E10" s="2">
        <v>0</v>
      </c>
      <c r="G10" s="11">
        <v>22</v>
      </c>
      <c r="H10" s="5">
        <v>7209.16</v>
      </c>
      <c r="I10" s="1" t="s">
        <v>17</v>
      </c>
      <c r="J10" s="5"/>
      <c r="K10" s="14">
        <v>18554.34</v>
      </c>
    </row>
    <row r="11" spans="1:11" x14ac:dyDescent="0.2">
      <c r="A11" s="4" t="s">
        <v>9</v>
      </c>
      <c r="B11" s="3">
        <v>11.5</v>
      </c>
      <c r="C11" s="3">
        <v>11.5</v>
      </c>
      <c r="D11" s="3">
        <v>11.5</v>
      </c>
      <c r="E11" s="3">
        <v>11.5</v>
      </c>
      <c r="G11" s="11">
        <v>21</v>
      </c>
      <c r="H11" s="5">
        <v>6693.26</v>
      </c>
      <c r="I11" s="1" t="s">
        <v>18</v>
      </c>
      <c r="J11" s="5"/>
      <c r="K11" s="14">
        <v>18045.580000000002</v>
      </c>
    </row>
    <row r="12" spans="1:11" x14ac:dyDescent="0.2">
      <c r="A12" s="4" t="s">
        <v>20</v>
      </c>
      <c r="B12" s="8">
        <v>4.7</v>
      </c>
      <c r="C12" s="8">
        <v>4.7</v>
      </c>
      <c r="D12" s="8">
        <v>4.7</v>
      </c>
      <c r="E12" s="8">
        <v>4.7</v>
      </c>
      <c r="G12" s="11">
        <v>20</v>
      </c>
      <c r="H12" s="5">
        <v>6217.4</v>
      </c>
      <c r="I12" s="1" t="s">
        <v>18</v>
      </c>
      <c r="J12" s="5"/>
      <c r="K12" s="14">
        <v>17663.099999999999</v>
      </c>
    </row>
    <row r="13" spans="1:11" x14ac:dyDescent="0.2">
      <c r="A13" s="4" t="s">
        <v>22</v>
      </c>
      <c r="B13" s="8">
        <v>48.1</v>
      </c>
      <c r="C13" s="8">
        <v>37.86</v>
      </c>
      <c r="D13" s="8">
        <v>29.07</v>
      </c>
      <c r="E13" s="8">
        <v>23</v>
      </c>
      <c r="G13" s="11">
        <v>19</v>
      </c>
      <c r="H13" s="5">
        <v>5900.02</v>
      </c>
      <c r="I13" s="1" t="s">
        <v>18</v>
      </c>
      <c r="J13" s="5"/>
      <c r="K13" s="14">
        <v>16288.72</v>
      </c>
    </row>
    <row r="14" spans="1:11" x14ac:dyDescent="0.2">
      <c r="B14" s="1"/>
      <c r="G14" s="11">
        <v>18</v>
      </c>
      <c r="H14" s="5">
        <v>5582.36</v>
      </c>
      <c r="I14" s="1" t="s">
        <v>24</v>
      </c>
      <c r="J14" s="5"/>
      <c r="K14" s="14">
        <v>15880.9</v>
      </c>
    </row>
    <row r="15" spans="1:11" x14ac:dyDescent="0.2">
      <c r="A15" s="4" t="s">
        <v>8</v>
      </c>
      <c r="B15" s="6">
        <f>((B3+(B4*B2)+(B8/14)+(B9/14)+(B10/12))*((100-B11-B12)/100))-B13-(((B5+(B6*B2)+(B8/14)+(B9/14))/6)*(B12/100))</f>
        <v>1721.2071666666668</v>
      </c>
      <c r="C15" s="6">
        <f>((C3+(C4*C2)+(C8/14)+(C9/14)+(C10/12))*((100-C11-C12)/100))-C13-(((C5+(C6*C2)+(C8/14)+(C9/14))/6)*(C12/100))</f>
        <v>1408.152515</v>
      </c>
      <c r="D15" s="6">
        <f>((D3+(D4*D2)+(D8/14)+(D9/14)+(D10/12))*((100-D11-D12)/100))-D13-(((D5+(D6*D2)+(D8/14)+(D9/14))/6)*(D12/100))</f>
        <v>1052.2065749999999</v>
      </c>
      <c r="E15" s="6">
        <f>((E3+(E4*E2)+(E8/14)+(E9/14)+(E10/12))*((100-E11-E12)/100))-E13-(((E5+(E6*E2)+(E8/14)+(E9/14))/6)*(E12/100))</f>
        <v>921.93894</v>
      </c>
      <c r="G15" s="11">
        <v>17</v>
      </c>
      <c r="H15" s="5">
        <v>5264.84</v>
      </c>
      <c r="I15" s="9" t="s">
        <v>25</v>
      </c>
      <c r="J15" s="5"/>
      <c r="K15" s="14">
        <v>14693.14</v>
      </c>
    </row>
    <row r="16" spans="1:11" x14ac:dyDescent="0.2">
      <c r="A16" s="4" t="s">
        <v>10</v>
      </c>
      <c r="B16" s="6">
        <f>((B5+(B6*B2)+(B8/14)+(B9/14))*((100-B11)/100))-B13</f>
        <v>1454.8778000000002</v>
      </c>
      <c r="C16" s="6">
        <f>((C5+(C6*C2)+(C8/14)+(C9/14))*((100-C11)/100))-C13</f>
        <v>1269.4354499999999</v>
      </c>
      <c r="D16" s="6">
        <f>((D5+(D6*D2)+(D8/14)+(D9/14))*((100-D11)/100))-D13</f>
        <v>1035.45225</v>
      </c>
      <c r="E16" s="6">
        <f>((E5+(E6*E2)+(E8/14)+(E9/14))*((100-E11)/100))-E13</f>
        <v>979.42180000000008</v>
      </c>
      <c r="G16" s="11">
        <v>16</v>
      </c>
      <c r="H16" s="5">
        <v>4948.0200000000004</v>
      </c>
      <c r="I16" s="9" t="s">
        <v>25</v>
      </c>
      <c r="J16" s="5"/>
      <c r="K16" s="14">
        <v>14675.64</v>
      </c>
    </row>
    <row r="17" spans="1:11" x14ac:dyDescent="0.2">
      <c r="B17" s="5"/>
      <c r="G17" s="11">
        <v>15</v>
      </c>
      <c r="H17" s="5">
        <v>4630.08</v>
      </c>
      <c r="I17" s="9" t="s">
        <v>25</v>
      </c>
      <c r="J17" s="5"/>
      <c r="K17" s="14">
        <v>14579.88</v>
      </c>
    </row>
    <row r="18" spans="1:11" x14ac:dyDescent="0.2">
      <c r="B18" s="5"/>
      <c r="G18" s="11">
        <v>14</v>
      </c>
      <c r="H18" s="5">
        <v>4312.9799999999996</v>
      </c>
      <c r="I18" s="13" t="s">
        <v>23</v>
      </c>
      <c r="K18" s="14">
        <v>13801.9</v>
      </c>
    </row>
    <row r="19" spans="1:11" x14ac:dyDescent="0.2">
      <c r="A19" t="s">
        <v>21</v>
      </c>
      <c r="B19" s="5"/>
      <c r="K19" s="14">
        <v>13486.34</v>
      </c>
    </row>
    <row r="20" spans="1:11" x14ac:dyDescent="0.2">
      <c r="B20" s="5"/>
      <c r="K20" s="14">
        <v>13472.48</v>
      </c>
    </row>
    <row r="21" spans="1:11" x14ac:dyDescent="0.2">
      <c r="B21" s="5"/>
      <c r="K21" s="14">
        <v>13248.48</v>
      </c>
    </row>
    <row r="22" spans="1:11" x14ac:dyDescent="0.2">
      <c r="K22" s="14">
        <v>13225.8</v>
      </c>
    </row>
    <row r="23" spans="1:11" x14ac:dyDescent="0.2">
      <c r="K23" s="14">
        <v>13132.14</v>
      </c>
    </row>
    <row r="24" spans="1:11" x14ac:dyDescent="0.2">
      <c r="K24" s="14">
        <v>12663</v>
      </c>
    </row>
    <row r="25" spans="1:11" x14ac:dyDescent="0.2">
      <c r="K25" s="14">
        <v>12260.08</v>
      </c>
    </row>
    <row r="26" spans="1:11" x14ac:dyDescent="0.2">
      <c r="K26" s="14">
        <v>12064.08</v>
      </c>
    </row>
    <row r="27" spans="1:11" x14ac:dyDescent="0.2">
      <c r="K27" s="14">
        <v>11904.9</v>
      </c>
    </row>
    <row r="28" spans="1:11" x14ac:dyDescent="0.2">
      <c r="K28" s="14">
        <v>11886.98</v>
      </c>
    </row>
    <row r="29" spans="1:11" x14ac:dyDescent="0.2">
      <c r="K29" s="14">
        <v>11867.66</v>
      </c>
    </row>
    <row r="30" spans="1:11" x14ac:dyDescent="0.2">
      <c r="K30" s="14">
        <v>11863.04</v>
      </c>
    </row>
    <row r="31" spans="1:11" x14ac:dyDescent="0.2">
      <c r="K31" s="14">
        <v>11789.82</v>
      </c>
    </row>
    <row r="32" spans="1:11" x14ac:dyDescent="0.2">
      <c r="K32" s="14">
        <v>11298.56</v>
      </c>
    </row>
    <row r="33" spans="11:11" x14ac:dyDescent="0.2">
      <c r="K33" s="14">
        <v>11166.54</v>
      </c>
    </row>
    <row r="34" spans="11:11" x14ac:dyDescent="0.2">
      <c r="K34" s="14">
        <v>11080.58</v>
      </c>
    </row>
    <row r="35" spans="11:11" x14ac:dyDescent="0.2">
      <c r="K35" s="14">
        <v>10833.9</v>
      </c>
    </row>
    <row r="36" spans="11:11" x14ac:dyDescent="0.2">
      <c r="K36" s="14">
        <v>10686.34</v>
      </c>
    </row>
    <row r="37" spans="11:11" x14ac:dyDescent="0.2">
      <c r="K37" s="14">
        <v>10672.2</v>
      </c>
    </row>
    <row r="38" spans="11:11" x14ac:dyDescent="0.2">
      <c r="K38" s="14">
        <v>10587.78</v>
      </c>
    </row>
    <row r="39" spans="11:11" x14ac:dyDescent="0.2">
      <c r="K39" s="14">
        <v>10408.44</v>
      </c>
    </row>
    <row r="40" spans="11:11" x14ac:dyDescent="0.2">
      <c r="K40" s="14">
        <v>10383.1</v>
      </c>
    </row>
    <row r="41" spans="11:11" x14ac:dyDescent="0.2">
      <c r="K41" s="14">
        <v>10079.44</v>
      </c>
    </row>
    <row r="42" spans="11:11" x14ac:dyDescent="0.2">
      <c r="K42" s="14">
        <v>9862.58</v>
      </c>
    </row>
    <row r="43" spans="11:11" x14ac:dyDescent="0.2">
      <c r="K43" s="14">
        <v>9667.14</v>
      </c>
    </row>
    <row r="44" spans="11:11" x14ac:dyDescent="0.2">
      <c r="K44" s="14">
        <v>9059.9599999999991</v>
      </c>
    </row>
    <row r="45" spans="11:11" x14ac:dyDescent="0.2">
      <c r="K45" s="14">
        <v>9020.76</v>
      </c>
    </row>
    <row r="46" spans="11:11" x14ac:dyDescent="0.2">
      <c r="K46" s="14">
        <v>8943.2000000000007</v>
      </c>
    </row>
    <row r="47" spans="11:11" x14ac:dyDescent="0.2">
      <c r="K47" s="14">
        <v>8797.8799999999992</v>
      </c>
    </row>
    <row r="48" spans="11:11" x14ac:dyDescent="0.2">
      <c r="K48" s="14">
        <v>8711.92</v>
      </c>
    </row>
    <row r="49" spans="11:11" x14ac:dyDescent="0.2">
      <c r="K49" s="14">
        <v>8253.2800000000007</v>
      </c>
    </row>
    <row r="50" spans="11:11" x14ac:dyDescent="0.2">
      <c r="K50" s="14">
        <v>8190.98</v>
      </c>
    </row>
    <row r="51" spans="11:11" x14ac:dyDescent="0.2">
      <c r="K51" s="14">
        <v>8112.3</v>
      </c>
    </row>
    <row r="52" spans="11:11" x14ac:dyDescent="0.2">
      <c r="K52" s="14">
        <v>7943.46</v>
      </c>
    </row>
    <row r="53" spans="11:11" x14ac:dyDescent="0.2">
      <c r="K53" s="14">
        <v>7839.44</v>
      </c>
    </row>
    <row r="54" spans="11:11" x14ac:dyDescent="0.2">
      <c r="K54" s="14">
        <v>7795.06</v>
      </c>
    </row>
    <row r="55" spans="11:11" x14ac:dyDescent="0.2">
      <c r="K55" s="14">
        <v>7776.58</v>
      </c>
    </row>
    <row r="56" spans="11:11" x14ac:dyDescent="0.2">
      <c r="K56" s="14">
        <v>7730.1</v>
      </c>
    </row>
    <row r="57" spans="11:11" x14ac:dyDescent="0.2">
      <c r="K57" s="14">
        <v>7661.78</v>
      </c>
    </row>
    <row r="58" spans="11:11" x14ac:dyDescent="0.2">
      <c r="K58" s="14">
        <v>7652.68</v>
      </c>
    </row>
    <row r="59" spans="11:11" x14ac:dyDescent="0.2">
      <c r="K59" s="14">
        <v>7626.22</v>
      </c>
    </row>
    <row r="60" spans="11:11" x14ac:dyDescent="0.2">
      <c r="K60" s="14">
        <v>7610.54</v>
      </c>
    </row>
    <row r="61" spans="11:11" x14ac:dyDescent="0.2">
      <c r="K61" s="14">
        <v>7336.42</v>
      </c>
    </row>
    <row r="62" spans="11:11" x14ac:dyDescent="0.2">
      <c r="K62" s="14">
        <v>7130.9</v>
      </c>
    </row>
    <row r="63" spans="11:11" x14ac:dyDescent="0.2">
      <c r="K63" s="14">
        <v>7074.48</v>
      </c>
    </row>
    <row r="64" spans="11:11" x14ac:dyDescent="0.2">
      <c r="K64" s="14">
        <v>7064.26</v>
      </c>
    </row>
    <row r="65" spans="11:11" x14ac:dyDescent="0.2">
      <c r="K65" s="14">
        <v>6889.82</v>
      </c>
    </row>
    <row r="66" spans="11:11" x14ac:dyDescent="0.2">
      <c r="K66" s="14">
        <v>6808.62</v>
      </c>
    </row>
    <row r="67" spans="11:11" x14ac:dyDescent="0.2">
      <c r="K67" s="14">
        <v>6721.12</v>
      </c>
    </row>
    <row r="68" spans="11:11" x14ac:dyDescent="0.2">
      <c r="K68" s="14">
        <v>6547.1</v>
      </c>
    </row>
    <row r="69" spans="11:11" x14ac:dyDescent="0.2">
      <c r="K69" s="14">
        <v>6523.86</v>
      </c>
    </row>
    <row r="70" spans="11:11" x14ac:dyDescent="0.2">
      <c r="K70" s="14">
        <v>6520.08</v>
      </c>
    </row>
    <row r="71" spans="11:11" x14ac:dyDescent="0.2">
      <c r="K71" s="14">
        <v>6129.76</v>
      </c>
    </row>
    <row r="72" spans="11:11" x14ac:dyDescent="0.2">
      <c r="K72" s="14">
        <v>6025.74</v>
      </c>
    </row>
    <row r="73" spans="11:11" x14ac:dyDescent="0.2">
      <c r="K73" s="14">
        <v>6025.6</v>
      </c>
    </row>
    <row r="74" spans="11:11" x14ac:dyDescent="0.2">
      <c r="K74" s="14">
        <v>5890.36</v>
      </c>
    </row>
    <row r="75" spans="11:11" x14ac:dyDescent="0.2">
      <c r="K75" s="14">
        <v>5826.38</v>
      </c>
    </row>
    <row r="76" spans="11:11" x14ac:dyDescent="0.2">
      <c r="K76" s="14">
        <v>5584.46</v>
      </c>
    </row>
    <row r="77" spans="11:11" x14ac:dyDescent="0.2">
      <c r="K77" s="14">
        <v>5576.2</v>
      </c>
    </row>
    <row r="78" spans="11:11" x14ac:dyDescent="0.2">
      <c r="K78" s="14">
        <v>5571.16</v>
      </c>
    </row>
    <row r="79" spans="11:11" x14ac:dyDescent="0.2">
      <c r="K79" s="14">
        <v>5522.72</v>
      </c>
    </row>
    <row r="80" spans="11:11" x14ac:dyDescent="0.2">
      <c r="K80" s="14">
        <v>5243.98</v>
      </c>
    </row>
    <row r="81" spans="11:11" x14ac:dyDescent="0.2">
      <c r="K81" s="14">
        <v>5208.7</v>
      </c>
    </row>
    <row r="82" spans="11:11" x14ac:dyDescent="0.2">
      <c r="K82" s="14">
        <v>5099.6400000000003</v>
      </c>
    </row>
    <row r="83" spans="11:11" x14ac:dyDescent="0.2">
      <c r="K83" s="14">
        <v>4921.9799999999996</v>
      </c>
    </row>
    <row r="84" spans="11:11" x14ac:dyDescent="0.2">
      <c r="K84" s="14">
        <v>4827.8999999999996</v>
      </c>
    </row>
    <row r="85" spans="11:11" x14ac:dyDescent="0.2">
      <c r="K85" s="14">
        <v>4696.3</v>
      </c>
    </row>
    <row r="86" spans="11:11" x14ac:dyDescent="0.2">
      <c r="K86" s="14">
        <v>4677.3999999999996</v>
      </c>
    </row>
    <row r="87" spans="11:11" x14ac:dyDescent="0.2">
      <c r="K87" s="14">
        <v>4674.74</v>
      </c>
    </row>
    <row r="88" spans="11:11" x14ac:dyDescent="0.2">
      <c r="K88" s="14">
        <v>4631.62</v>
      </c>
    </row>
    <row r="89" spans="11:11" x14ac:dyDescent="0.2">
      <c r="K89" s="14">
        <v>4619.16</v>
      </c>
    </row>
    <row r="90" spans="11:11" x14ac:dyDescent="0.2">
      <c r="K90" s="14">
        <v>4588.6400000000003</v>
      </c>
    </row>
    <row r="91" spans="11:11" x14ac:dyDescent="0.2">
      <c r="K91" s="14">
        <v>4586.12</v>
      </c>
    </row>
    <row r="92" spans="11:11" x14ac:dyDescent="0.2">
      <c r="K92" s="14">
        <v>4524.66</v>
      </c>
    </row>
    <row r="93" spans="11:11" x14ac:dyDescent="0.2">
      <c r="K93" s="14">
        <v>4480.9799999999996</v>
      </c>
    </row>
    <row r="94" spans="11:11" x14ac:dyDescent="0.2">
      <c r="K94" s="14">
        <v>4473.9799999999996</v>
      </c>
    </row>
    <row r="95" spans="11:11" x14ac:dyDescent="0.2">
      <c r="K95" s="14">
        <v>4455.22</v>
      </c>
    </row>
    <row r="96" spans="11:11" x14ac:dyDescent="0.2">
      <c r="K96" s="14">
        <v>4405.1000000000004</v>
      </c>
    </row>
    <row r="97" spans="11:11" x14ac:dyDescent="0.2">
      <c r="K97" s="14">
        <v>4404.12</v>
      </c>
    </row>
    <row r="98" spans="11:11" x14ac:dyDescent="0.2">
      <c r="K98" s="14">
        <v>4211.0600000000004</v>
      </c>
    </row>
    <row r="99" spans="11:11" x14ac:dyDescent="0.2">
      <c r="K99" s="14">
        <v>4205.32</v>
      </c>
    </row>
    <row r="100" spans="11:11" x14ac:dyDescent="0.2">
      <c r="K100" s="14">
        <v>4201.26</v>
      </c>
    </row>
    <row r="101" spans="11:11" x14ac:dyDescent="0.2">
      <c r="K101" s="14">
        <v>4145.96</v>
      </c>
    </row>
    <row r="102" spans="11:11" x14ac:dyDescent="0.2">
      <c r="K102" s="14">
        <v>4136.0200000000004</v>
      </c>
    </row>
    <row r="103" spans="11:11" x14ac:dyDescent="0.2">
      <c r="K103" s="14">
        <v>3951.78</v>
      </c>
    </row>
    <row r="104" spans="11:11" x14ac:dyDescent="0.2">
      <c r="K104" s="14">
        <v>3901.66</v>
      </c>
    </row>
    <row r="105" spans="11:11" x14ac:dyDescent="0.2">
      <c r="K105" s="14">
        <v>3663.8</v>
      </c>
    </row>
    <row r="106" spans="11:11" x14ac:dyDescent="0.2">
      <c r="K106" s="14">
        <v>3653.86</v>
      </c>
    </row>
    <row r="107" spans="11:11" x14ac:dyDescent="0.2">
      <c r="K107" s="14">
        <v>3649.94</v>
      </c>
    </row>
    <row r="108" spans="11:11" x14ac:dyDescent="0.2">
      <c r="K108" s="14">
        <v>3624.46</v>
      </c>
    </row>
    <row r="109" spans="11:11" x14ac:dyDescent="0.2">
      <c r="K109" s="14">
        <v>3564.96</v>
      </c>
    </row>
    <row r="110" spans="11:11" x14ac:dyDescent="0.2">
      <c r="K110" s="14">
        <v>3410.4</v>
      </c>
    </row>
    <row r="111" spans="11:11" x14ac:dyDescent="0.2">
      <c r="K111" s="14">
        <v>3148.32</v>
      </c>
    </row>
  </sheetData>
  <dataValidations count="1">
    <dataValidation type="list" allowBlank="1" showInputMessage="1" showErrorMessage="1" sqref="B9:E9" xr:uid="{00000000-0002-0000-0000-000000000000}">
      <formula1>$K$2:$K$111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111"/>
  <sheetViews>
    <sheetView workbookViewId="0">
      <selection activeCell="D11" sqref="D11:D12"/>
    </sheetView>
  </sheetViews>
  <sheetFormatPr defaultColWidth="10.76171875" defaultRowHeight="15" x14ac:dyDescent="0.2"/>
  <cols>
    <col min="1" max="1" width="33.2265625" customWidth="1"/>
    <col min="2" max="4" width="13.1796875" bestFit="1" customWidth="1"/>
    <col min="5" max="5" width="13.1796875" customWidth="1"/>
    <col min="6" max="6" width="4.5703125" customWidth="1"/>
    <col min="7" max="7" width="9.28125" customWidth="1"/>
    <col min="8" max="8" width="26.36328125" bestFit="1" customWidth="1"/>
    <col min="11" max="11" width="27.3046875" style="15" customWidth="1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G1" s="1" t="s">
        <v>14</v>
      </c>
      <c r="H1" s="1" t="s">
        <v>15</v>
      </c>
      <c r="I1" s="1"/>
      <c r="J1" s="1"/>
      <c r="K1" s="1" t="s">
        <v>26</v>
      </c>
    </row>
    <row r="2" spans="1:11" x14ac:dyDescent="0.2">
      <c r="A2" s="4" t="s">
        <v>7</v>
      </c>
      <c r="B2" s="2">
        <v>0</v>
      </c>
      <c r="C2" s="2">
        <v>0</v>
      </c>
      <c r="D2" s="2">
        <v>0</v>
      </c>
      <c r="E2" s="2">
        <v>0</v>
      </c>
      <c r="G2" s="11">
        <v>30</v>
      </c>
      <c r="H2" s="5">
        <v>13835.22</v>
      </c>
      <c r="I2" s="10" t="s">
        <v>11</v>
      </c>
      <c r="J2" s="5"/>
      <c r="K2" s="14">
        <v>29321.46</v>
      </c>
    </row>
    <row r="3" spans="1:11" x14ac:dyDescent="0.2">
      <c r="A3" s="4" t="s">
        <v>0</v>
      </c>
      <c r="B3" s="7">
        <v>1131.3599999999999</v>
      </c>
      <c r="C3" s="7">
        <v>978.26</v>
      </c>
      <c r="D3" s="7">
        <v>734.51</v>
      </c>
      <c r="E3" s="7">
        <v>611.30999999999995</v>
      </c>
      <c r="G3" s="11">
        <v>29</v>
      </c>
      <c r="H3" s="5">
        <v>12409.6</v>
      </c>
      <c r="I3" s="10" t="s">
        <v>11</v>
      </c>
      <c r="J3" s="5"/>
      <c r="K3" s="14">
        <v>28420.98</v>
      </c>
    </row>
    <row r="4" spans="1:11" x14ac:dyDescent="0.2">
      <c r="A4" s="4" t="s">
        <v>5</v>
      </c>
      <c r="B4" s="7">
        <v>43.52</v>
      </c>
      <c r="C4" s="7">
        <v>35.479999999999997</v>
      </c>
      <c r="D4" s="7">
        <v>26.85</v>
      </c>
      <c r="E4" s="7">
        <v>18.27</v>
      </c>
      <c r="G4" s="11">
        <v>28</v>
      </c>
      <c r="H4" s="5">
        <v>11887.96</v>
      </c>
      <c r="I4" s="10" t="s">
        <v>11</v>
      </c>
      <c r="J4" s="5"/>
      <c r="K4" s="14">
        <v>26621.14</v>
      </c>
    </row>
    <row r="5" spans="1:11" x14ac:dyDescent="0.2">
      <c r="A5" s="4" t="s">
        <v>1</v>
      </c>
      <c r="B5" s="7">
        <v>698.13</v>
      </c>
      <c r="C5" s="7">
        <v>713.45</v>
      </c>
      <c r="D5" s="7">
        <v>634.82000000000005</v>
      </c>
      <c r="E5" s="7">
        <v>605.73</v>
      </c>
      <c r="G5" s="11">
        <v>27</v>
      </c>
      <c r="H5" s="5">
        <v>11365.9</v>
      </c>
      <c r="I5" s="10" t="s">
        <v>11</v>
      </c>
      <c r="J5" s="5"/>
      <c r="K5" s="14">
        <v>24821.72</v>
      </c>
    </row>
    <row r="6" spans="1:11" x14ac:dyDescent="0.2">
      <c r="A6" s="4" t="s">
        <v>6</v>
      </c>
      <c r="B6" s="7">
        <v>26.85</v>
      </c>
      <c r="C6" s="7">
        <v>25.87</v>
      </c>
      <c r="D6" s="7">
        <v>23.19</v>
      </c>
      <c r="E6" s="7">
        <v>18.09</v>
      </c>
      <c r="G6" s="11">
        <v>26</v>
      </c>
      <c r="H6" s="5">
        <v>9971.5</v>
      </c>
      <c r="I6" s="10" t="s">
        <v>16</v>
      </c>
      <c r="J6" s="5"/>
      <c r="K6" s="14">
        <v>23921.24</v>
      </c>
    </row>
    <row r="7" spans="1:11" x14ac:dyDescent="0.2">
      <c r="A7" s="4" t="s">
        <v>19</v>
      </c>
      <c r="B7" s="11">
        <v>22</v>
      </c>
      <c r="C7" s="11">
        <v>18</v>
      </c>
      <c r="D7" s="11">
        <v>18</v>
      </c>
      <c r="E7" s="11">
        <v>14</v>
      </c>
      <c r="G7" s="11">
        <v>25</v>
      </c>
      <c r="H7" s="5">
        <v>8847.02</v>
      </c>
      <c r="I7" s="10" t="s">
        <v>16</v>
      </c>
      <c r="J7" s="5"/>
      <c r="K7" s="14">
        <v>22721.3</v>
      </c>
    </row>
    <row r="8" spans="1:11" x14ac:dyDescent="0.2">
      <c r="A8" s="4" t="s">
        <v>3</v>
      </c>
      <c r="B8" s="12">
        <f>IF(B7=30,H2,(IF(B7=29,H3,(IF(B7=28,H4,(IF(B7=27,H5,(IF(B7=26,H6,(IF(B7=25,H7,(IF(B7=24,H8,(IF(B7=23,H9,(IF(B7=22,H10,"Nivel Erróneo")))))))))))))))))</f>
        <v>7281.26</v>
      </c>
      <c r="C8" s="12">
        <f>IF(C7=26,H6,(IF(C7=25,H7,(IF(C7=24,H8,(IF(C7=23,H9,(IF(C7=22,H10,(IF(C7=21,H11,(IF(C7=20,H12,(IF(C7=19,H13,(IF(C7=18,H14,"Nivel Erróneo")))))))))))))))))</f>
        <v>5638.22</v>
      </c>
      <c r="D8" s="12">
        <f>IF(D7=22,H10,(IF(D7=21,H11,(IF(D7=20,H12,(IF(D7=19,H13,(IF(D7=18,H14,(IF(D7=17,H15,(IF(D7=16,H16,(IF(D7=15,H17,"Nivel Erróneo")))))))))))))))</f>
        <v>5638.22</v>
      </c>
      <c r="E8" s="12">
        <f>IF(E7=18,H14,(IF(E7=17,H15,(IF(E7=16,H16,(IF(E7=15,H17,(IF(E7=14,H18,"NivelErróneo")))))))))</f>
        <v>4356.24</v>
      </c>
      <c r="G8" s="11">
        <v>24</v>
      </c>
      <c r="H8" s="5">
        <v>8324.9599999999991</v>
      </c>
      <c r="I8" s="10" t="s">
        <v>16</v>
      </c>
      <c r="J8" s="5"/>
      <c r="K8" s="14">
        <v>21521.360000000001</v>
      </c>
    </row>
    <row r="9" spans="1:11" x14ac:dyDescent="0.2">
      <c r="A9" s="4" t="s">
        <v>2</v>
      </c>
      <c r="B9" s="2">
        <v>6086.08</v>
      </c>
      <c r="C9" s="2">
        <v>5584.46</v>
      </c>
      <c r="D9" s="2">
        <v>5632.06</v>
      </c>
      <c r="E9" s="2">
        <v>3179.82</v>
      </c>
      <c r="G9" s="11">
        <v>23</v>
      </c>
      <c r="H9" s="5">
        <v>7803.6</v>
      </c>
      <c r="I9" s="10" t="s">
        <v>16</v>
      </c>
      <c r="J9" s="5"/>
      <c r="K9" s="14">
        <v>20021.400000000001</v>
      </c>
    </row>
    <row r="10" spans="1:11" x14ac:dyDescent="0.2">
      <c r="A10" s="4" t="s">
        <v>4</v>
      </c>
      <c r="B10" s="2">
        <v>0</v>
      </c>
      <c r="C10" s="2">
        <v>0</v>
      </c>
      <c r="D10" s="2">
        <v>0</v>
      </c>
      <c r="E10" s="2">
        <v>0</v>
      </c>
      <c r="G10" s="11">
        <v>22</v>
      </c>
      <c r="H10" s="5">
        <v>7281.26</v>
      </c>
      <c r="I10" s="1" t="s">
        <v>17</v>
      </c>
      <c r="J10" s="5"/>
      <c r="K10" s="14">
        <v>18739.98</v>
      </c>
    </row>
    <row r="11" spans="1:11" x14ac:dyDescent="0.2">
      <c r="A11" s="4" t="s">
        <v>9</v>
      </c>
      <c r="B11" s="3">
        <v>11.5</v>
      </c>
      <c r="C11" s="3">
        <v>11.5</v>
      </c>
      <c r="D11" s="3">
        <v>11.5</v>
      </c>
      <c r="E11" s="3">
        <v>11.5</v>
      </c>
      <c r="G11" s="11">
        <v>21</v>
      </c>
      <c r="H11" s="5">
        <v>6760.32</v>
      </c>
      <c r="I11" s="1" t="s">
        <v>18</v>
      </c>
      <c r="J11" s="5"/>
      <c r="K11" s="14">
        <v>18226.04</v>
      </c>
    </row>
    <row r="12" spans="1:11" x14ac:dyDescent="0.2">
      <c r="A12" s="4" t="s">
        <v>20</v>
      </c>
      <c r="B12" s="8">
        <v>4.7</v>
      </c>
      <c r="C12" s="8">
        <v>4.7</v>
      </c>
      <c r="D12" s="8">
        <v>4.7</v>
      </c>
      <c r="E12" s="8">
        <v>4.7</v>
      </c>
      <c r="G12" s="11">
        <v>20</v>
      </c>
      <c r="H12" s="5">
        <v>6279.7</v>
      </c>
      <c r="I12" s="1" t="s">
        <v>18</v>
      </c>
      <c r="J12" s="5"/>
      <c r="K12" s="14">
        <v>17839.78</v>
      </c>
    </row>
    <row r="13" spans="1:11" x14ac:dyDescent="0.2">
      <c r="A13" s="4" t="s">
        <v>22</v>
      </c>
      <c r="B13" s="8">
        <v>48.22</v>
      </c>
      <c r="C13" s="8">
        <v>37.950000000000003</v>
      </c>
      <c r="D13" s="8">
        <v>29.15</v>
      </c>
      <c r="E13" s="8">
        <v>23.06</v>
      </c>
      <c r="G13" s="11">
        <v>19</v>
      </c>
      <c r="H13" s="5">
        <v>5959.1</v>
      </c>
      <c r="I13" s="1" t="s">
        <v>18</v>
      </c>
      <c r="J13" s="5"/>
      <c r="K13" s="14">
        <v>16451.68</v>
      </c>
    </row>
    <row r="14" spans="1:11" x14ac:dyDescent="0.2">
      <c r="B14" s="1"/>
      <c r="G14" s="11">
        <v>18</v>
      </c>
      <c r="H14" s="5">
        <v>5638.22</v>
      </c>
      <c r="I14" s="1" t="s">
        <v>24</v>
      </c>
      <c r="J14" s="5"/>
      <c r="K14" s="14">
        <v>16039.8</v>
      </c>
    </row>
    <row r="15" spans="1:11" x14ac:dyDescent="0.2">
      <c r="A15" s="4" t="s">
        <v>8</v>
      </c>
      <c r="B15" s="6">
        <f>((B3+(B4*B2)+(B8/14)+(B9/14)+(B10/12))*((100-B11-B12)/100))-B13-(((B5+(B6*B2)+(B8/14)+(B9/14))/6)*(B12/100))</f>
        <v>1687.0424299999995</v>
      </c>
      <c r="C15" s="6">
        <f>((C3+(C4*C2)+(C8/14)+(C9/14)+(C10/12))*((100-C11-C12)/100))-C13-(((C5+(C6*C2)+(C8/14)+(C9/14))/6)*(C12/100))</f>
        <v>1441.7213916666667</v>
      </c>
      <c r="D15" s="6">
        <f>((D3+(D4*D2)+(D8/14)+(D9/14)+(D10/12))*((100-D11-D12)/100))-D13-(((D5+(D6*D2)+(D8/14)+(D9/14))/6)*(D12/100))</f>
        <v>1249.6973933333331</v>
      </c>
      <c r="E15" s="6">
        <f>((E3+(E4*E2)+(E8/14)+(E9/14)+(E10/12))*((100-E11-E12)/100))-E13-(((E5+(E6*E2)+(E8/14)+(E9/14))/6)*(E12/100))</f>
        <v>931.34330999999986</v>
      </c>
      <c r="G15" s="11">
        <v>17</v>
      </c>
      <c r="H15" s="5">
        <v>5317.62</v>
      </c>
      <c r="I15" s="9" t="s">
        <v>25</v>
      </c>
      <c r="J15" s="5"/>
      <c r="K15" s="14">
        <v>14840.14</v>
      </c>
    </row>
    <row r="16" spans="1:11" x14ac:dyDescent="0.2">
      <c r="A16" s="4" t="s">
        <v>10</v>
      </c>
      <c r="B16" s="6">
        <f>((B5+(B6*B2)+(B8/14)+(B9/14))*((100-B11)/100))-B13</f>
        <v>1414.6319000000001</v>
      </c>
      <c r="C16" s="6">
        <f>((C5+(C6*C2)+(C8/14)+(C9/14))*((100-C11)/100))-C13</f>
        <v>1302.8869500000001</v>
      </c>
      <c r="D16" s="6">
        <f>((D5+(D6*D2)+(D8/14)+(D9/14))*((100-D11)/100))-D13</f>
        <v>1245.1084000000001</v>
      </c>
      <c r="E16" s="6">
        <f>((E5+(E6*E2)+(E8/14)+(E9/14))*((100-E11)/100))-E13</f>
        <v>989.3977000000001</v>
      </c>
      <c r="G16" s="11">
        <v>16</v>
      </c>
      <c r="H16" s="5">
        <v>4997.58</v>
      </c>
      <c r="I16" s="9" t="s">
        <v>25</v>
      </c>
      <c r="J16" s="5"/>
      <c r="K16" s="14">
        <v>14822.5</v>
      </c>
    </row>
    <row r="17" spans="1:11" x14ac:dyDescent="0.2">
      <c r="B17" s="5"/>
      <c r="G17" s="11">
        <v>15</v>
      </c>
      <c r="H17" s="5">
        <v>4676.42</v>
      </c>
      <c r="I17" s="9" t="s">
        <v>25</v>
      </c>
      <c r="J17" s="5"/>
      <c r="K17" s="14">
        <v>14725.76</v>
      </c>
    </row>
    <row r="18" spans="1:11" x14ac:dyDescent="0.2">
      <c r="B18" s="5"/>
      <c r="G18" s="11">
        <v>14</v>
      </c>
      <c r="H18" s="5">
        <v>4356.24</v>
      </c>
      <c r="I18" s="13" t="s">
        <v>23</v>
      </c>
      <c r="K18" s="14">
        <v>13939.94</v>
      </c>
    </row>
    <row r="19" spans="1:11" x14ac:dyDescent="0.2">
      <c r="A19" t="s">
        <v>21</v>
      </c>
      <c r="B19" s="5"/>
      <c r="K19" s="14">
        <v>13621.3</v>
      </c>
    </row>
    <row r="20" spans="1:11" x14ac:dyDescent="0.2">
      <c r="B20" s="5"/>
      <c r="K20" s="14">
        <v>13607.3</v>
      </c>
    </row>
    <row r="21" spans="1:11" x14ac:dyDescent="0.2">
      <c r="B21" s="5"/>
      <c r="K21" s="14">
        <v>13381.06</v>
      </c>
    </row>
    <row r="22" spans="1:11" x14ac:dyDescent="0.2">
      <c r="K22" s="14">
        <v>13358.1</v>
      </c>
    </row>
    <row r="23" spans="1:11" x14ac:dyDescent="0.2">
      <c r="K23" s="14">
        <v>13263.6</v>
      </c>
    </row>
    <row r="24" spans="1:11" x14ac:dyDescent="0.2">
      <c r="K24" s="14">
        <v>12789.7</v>
      </c>
    </row>
    <row r="25" spans="1:11" x14ac:dyDescent="0.2">
      <c r="K25" s="14">
        <v>12382.72</v>
      </c>
    </row>
    <row r="26" spans="1:11" x14ac:dyDescent="0.2">
      <c r="K26" s="14">
        <v>12184.76</v>
      </c>
    </row>
    <row r="27" spans="1:11" x14ac:dyDescent="0.2">
      <c r="K27" s="14">
        <v>12024.04</v>
      </c>
    </row>
    <row r="28" spans="1:11" x14ac:dyDescent="0.2">
      <c r="K28" s="14">
        <v>12005.98</v>
      </c>
    </row>
    <row r="29" spans="1:11" x14ac:dyDescent="0.2">
      <c r="K29" s="14">
        <v>11986.38</v>
      </c>
    </row>
    <row r="30" spans="1:11" x14ac:dyDescent="0.2">
      <c r="K30" s="14">
        <v>11981.76</v>
      </c>
    </row>
    <row r="31" spans="1:11" x14ac:dyDescent="0.2">
      <c r="K31" s="14">
        <v>11907.84</v>
      </c>
    </row>
    <row r="32" spans="1:11" x14ac:dyDescent="0.2">
      <c r="K32" s="14">
        <v>11411.68</v>
      </c>
    </row>
    <row r="33" spans="11:11" x14ac:dyDescent="0.2">
      <c r="K33" s="14">
        <v>11278.26</v>
      </c>
    </row>
    <row r="34" spans="11:11" x14ac:dyDescent="0.2">
      <c r="K34" s="14">
        <v>11191.46</v>
      </c>
    </row>
    <row r="35" spans="11:11" x14ac:dyDescent="0.2">
      <c r="K35" s="14">
        <v>10942.26</v>
      </c>
    </row>
    <row r="36" spans="11:11" x14ac:dyDescent="0.2">
      <c r="K36" s="14">
        <v>10793.3</v>
      </c>
    </row>
    <row r="37" spans="11:11" x14ac:dyDescent="0.2">
      <c r="K37" s="14">
        <v>10779.02</v>
      </c>
    </row>
    <row r="38" spans="11:11" x14ac:dyDescent="0.2">
      <c r="K38" s="14">
        <v>10693.76</v>
      </c>
    </row>
    <row r="39" spans="11:11" x14ac:dyDescent="0.2">
      <c r="K39" s="14">
        <v>10512.6</v>
      </c>
    </row>
    <row r="40" spans="11:11" x14ac:dyDescent="0.2">
      <c r="K40" s="14">
        <v>10486.98</v>
      </c>
    </row>
    <row r="41" spans="11:11" x14ac:dyDescent="0.2">
      <c r="K41" s="14">
        <v>10180.24</v>
      </c>
    </row>
    <row r="42" spans="11:11" x14ac:dyDescent="0.2">
      <c r="K42" s="14">
        <v>9961.2800000000007</v>
      </c>
    </row>
    <row r="43" spans="11:11" x14ac:dyDescent="0.2">
      <c r="K43" s="14">
        <v>9763.8799999999992</v>
      </c>
    </row>
    <row r="44" spans="11:11" x14ac:dyDescent="0.2">
      <c r="K44" s="14">
        <v>9150.68</v>
      </c>
    </row>
    <row r="45" spans="11:11" x14ac:dyDescent="0.2">
      <c r="K45" s="14">
        <v>9111.06</v>
      </c>
    </row>
    <row r="46" spans="11:11" x14ac:dyDescent="0.2">
      <c r="K46" s="14">
        <v>9032.66</v>
      </c>
    </row>
    <row r="47" spans="11:11" x14ac:dyDescent="0.2">
      <c r="K47" s="14">
        <v>8885.94</v>
      </c>
    </row>
    <row r="48" spans="11:11" x14ac:dyDescent="0.2">
      <c r="K48" s="14">
        <v>8799.14</v>
      </c>
    </row>
    <row r="49" spans="11:11" x14ac:dyDescent="0.2">
      <c r="K49" s="14">
        <v>8335.8799999999992</v>
      </c>
    </row>
    <row r="50" spans="11:11" x14ac:dyDescent="0.2">
      <c r="K50" s="14">
        <v>8273.02</v>
      </c>
    </row>
    <row r="51" spans="11:11" x14ac:dyDescent="0.2">
      <c r="K51" s="14">
        <v>8193.5</v>
      </c>
    </row>
    <row r="52" spans="11:11" x14ac:dyDescent="0.2">
      <c r="K52" s="14">
        <v>8022.98</v>
      </c>
    </row>
    <row r="53" spans="11:11" x14ac:dyDescent="0.2">
      <c r="K53" s="14">
        <v>7917.84</v>
      </c>
    </row>
    <row r="54" spans="11:11" x14ac:dyDescent="0.2">
      <c r="K54" s="14">
        <v>7873.04</v>
      </c>
    </row>
    <row r="55" spans="11:11" x14ac:dyDescent="0.2">
      <c r="K55" s="14">
        <v>7854.42</v>
      </c>
    </row>
    <row r="56" spans="11:11" x14ac:dyDescent="0.2">
      <c r="K56" s="14">
        <v>7807.52</v>
      </c>
    </row>
    <row r="57" spans="11:11" x14ac:dyDescent="0.2">
      <c r="K57" s="14">
        <v>7738.5</v>
      </c>
    </row>
    <row r="58" spans="11:11" x14ac:dyDescent="0.2">
      <c r="K58" s="14">
        <v>7729.26</v>
      </c>
    </row>
    <row r="59" spans="11:11" x14ac:dyDescent="0.2">
      <c r="K59" s="14">
        <v>7702.52</v>
      </c>
    </row>
    <row r="60" spans="11:11" x14ac:dyDescent="0.2">
      <c r="K60" s="14">
        <v>7686.7</v>
      </c>
    </row>
    <row r="61" spans="11:11" x14ac:dyDescent="0.2">
      <c r="K61" s="14">
        <v>7409.92</v>
      </c>
    </row>
    <row r="62" spans="11:11" x14ac:dyDescent="0.2">
      <c r="K62" s="14">
        <v>7202.3</v>
      </c>
    </row>
    <row r="63" spans="11:11" x14ac:dyDescent="0.2">
      <c r="K63" s="14">
        <v>7145.32</v>
      </c>
    </row>
    <row r="64" spans="11:11" x14ac:dyDescent="0.2">
      <c r="K64" s="14">
        <v>7134.96</v>
      </c>
    </row>
    <row r="65" spans="11:11" x14ac:dyDescent="0.2">
      <c r="K65" s="14">
        <v>6958.84</v>
      </c>
    </row>
    <row r="66" spans="11:11" x14ac:dyDescent="0.2">
      <c r="K66" s="14">
        <v>6876.8</v>
      </c>
    </row>
    <row r="67" spans="11:11" x14ac:dyDescent="0.2">
      <c r="K67" s="14">
        <v>6788.46</v>
      </c>
    </row>
    <row r="68" spans="11:11" x14ac:dyDescent="0.2">
      <c r="K68" s="14">
        <v>6612.62</v>
      </c>
    </row>
    <row r="69" spans="11:11" x14ac:dyDescent="0.2">
      <c r="K69" s="14">
        <v>6589.1</v>
      </c>
    </row>
    <row r="70" spans="11:11" x14ac:dyDescent="0.2">
      <c r="K70" s="14">
        <v>6585.32</v>
      </c>
    </row>
    <row r="71" spans="11:11" x14ac:dyDescent="0.2">
      <c r="K71" s="14">
        <v>6191.08</v>
      </c>
    </row>
    <row r="72" spans="11:11" x14ac:dyDescent="0.2">
      <c r="K72" s="14">
        <v>6086.08</v>
      </c>
    </row>
    <row r="73" spans="11:11" x14ac:dyDescent="0.2">
      <c r="K73" s="14">
        <v>6085.94</v>
      </c>
    </row>
    <row r="74" spans="11:11" x14ac:dyDescent="0.2">
      <c r="K74" s="14">
        <v>5949.3</v>
      </c>
    </row>
    <row r="75" spans="11:11" x14ac:dyDescent="0.2">
      <c r="K75" s="14">
        <v>5884.76</v>
      </c>
    </row>
    <row r="76" spans="11:11" x14ac:dyDescent="0.2">
      <c r="K76" s="14">
        <v>5640.32</v>
      </c>
    </row>
    <row r="77" spans="11:11" x14ac:dyDescent="0.2">
      <c r="K77" s="14">
        <v>5632.06</v>
      </c>
    </row>
    <row r="78" spans="11:11" x14ac:dyDescent="0.2">
      <c r="K78" s="14">
        <v>5626.88</v>
      </c>
    </row>
    <row r="79" spans="11:11" x14ac:dyDescent="0.2">
      <c r="K79" s="14">
        <v>5578.02</v>
      </c>
    </row>
    <row r="80" spans="11:11" x14ac:dyDescent="0.2">
      <c r="K80" s="14">
        <v>5296.48</v>
      </c>
    </row>
    <row r="81" spans="11:11" x14ac:dyDescent="0.2">
      <c r="K81" s="14">
        <v>5260.92</v>
      </c>
    </row>
    <row r="82" spans="11:11" x14ac:dyDescent="0.2">
      <c r="K82" s="14">
        <v>5150.74</v>
      </c>
    </row>
    <row r="83" spans="11:11" x14ac:dyDescent="0.2">
      <c r="K83" s="14">
        <v>4971.26</v>
      </c>
    </row>
    <row r="84" spans="11:11" x14ac:dyDescent="0.2">
      <c r="K84" s="14">
        <v>4876.2</v>
      </c>
    </row>
    <row r="85" spans="11:11" x14ac:dyDescent="0.2">
      <c r="K85" s="14">
        <v>4743.34</v>
      </c>
    </row>
    <row r="86" spans="11:11" x14ac:dyDescent="0.2">
      <c r="K86" s="14">
        <v>4724.3</v>
      </c>
    </row>
    <row r="87" spans="11:11" x14ac:dyDescent="0.2">
      <c r="K87" s="14">
        <v>4721.5</v>
      </c>
    </row>
    <row r="88" spans="11:11" x14ac:dyDescent="0.2">
      <c r="K88" s="14">
        <v>4677.96</v>
      </c>
    </row>
    <row r="89" spans="11:11" x14ac:dyDescent="0.2">
      <c r="K89" s="14">
        <v>4665.3599999999997</v>
      </c>
    </row>
    <row r="90" spans="11:11" x14ac:dyDescent="0.2">
      <c r="K90" s="14">
        <v>4634.5600000000004</v>
      </c>
    </row>
    <row r="91" spans="11:11" x14ac:dyDescent="0.2">
      <c r="K91" s="14">
        <v>4632.04</v>
      </c>
    </row>
    <row r="92" spans="11:11" x14ac:dyDescent="0.2">
      <c r="K92" s="14">
        <v>4570.0200000000004</v>
      </c>
    </row>
    <row r="93" spans="11:11" x14ac:dyDescent="0.2">
      <c r="K93" s="14">
        <v>4525.92</v>
      </c>
    </row>
    <row r="94" spans="11:11" x14ac:dyDescent="0.2">
      <c r="K94" s="14">
        <v>4518.78</v>
      </c>
    </row>
    <row r="95" spans="11:11" x14ac:dyDescent="0.2">
      <c r="K95" s="14">
        <v>4499.88</v>
      </c>
    </row>
    <row r="96" spans="11:11" x14ac:dyDescent="0.2">
      <c r="K96" s="14">
        <v>4449.2</v>
      </c>
    </row>
    <row r="97" spans="11:11" x14ac:dyDescent="0.2">
      <c r="K97" s="14">
        <v>4448.22</v>
      </c>
    </row>
    <row r="98" spans="11:11" x14ac:dyDescent="0.2">
      <c r="K98" s="14">
        <v>4253.2</v>
      </c>
    </row>
    <row r="99" spans="11:11" x14ac:dyDescent="0.2">
      <c r="K99" s="14">
        <v>4247.46</v>
      </c>
    </row>
    <row r="100" spans="11:11" x14ac:dyDescent="0.2">
      <c r="K100" s="14">
        <v>4243.3999999999996</v>
      </c>
    </row>
    <row r="101" spans="11:11" x14ac:dyDescent="0.2">
      <c r="K101" s="14">
        <v>4187.54</v>
      </c>
    </row>
    <row r="102" spans="11:11" x14ac:dyDescent="0.2">
      <c r="K102" s="14">
        <v>4177.46</v>
      </c>
    </row>
    <row r="103" spans="11:11" x14ac:dyDescent="0.2">
      <c r="K103" s="14">
        <v>3991.4</v>
      </c>
    </row>
    <row r="104" spans="11:11" x14ac:dyDescent="0.2">
      <c r="K104" s="14">
        <v>3940.72</v>
      </c>
    </row>
    <row r="105" spans="11:11" x14ac:dyDescent="0.2">
      <c r="K105" s="14">
        <v>3700.48</v>
      </c>
    </row>
    <row r="106" spans="11:11" x14ac:dyDescent="0.2">
      <c r="K106" s="14">
        <v>3690.4</v>
      </c>
    </row>
    <row r="107" spans="11:11" x14ac:dyDescent="0.2">
      <c r="K107" s="14">
        <v>3686.48</v>
      </c>
    </row>
    <row r="108" spans="11:11" x14ac:dyDescent="0.2">
      <c r="K108" s="14">
        <v>3660.72</v>
      </c>
    </row>
    <row r="109" spans="11:11" x14ac:dyDescent="0.2">
      <c r="K109" s="14">
        <v>3600.66</v>
      </c>
    </row>
    <row r="110" spans="11:11" x14ac:dyDescent="0.2">
      <c r="K110" s="14">
        <v>3444.56</v>
      </c>
    </row>
    <row r="111" spans="11:11" x14ac:dyDescent="0.2">
      <c r="K111" s="14">
        <v>3179.82</v>
      </c>
    </row>
  </sheetData>
  <dataValidations count="1">
    <dataValidation type="list" allowBlank="1" showInputMessage="1" showErrorMessage="1" sqref="B9:E9" xr:uid="{00000000-0002-0000-0100-000000000000}">
      <formula1>$K$2:$K$111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K111"/>
  <sheetViews>
    <sheetView workbookViewId="0">
      <selection activeCell="B15" sqref="B15"/>
    </sheetView>
  </sheetViews>
  <sheetFormatPr defaultColWidth="11.43359375" defaultRowHeight="15" x14ac:dyDescent="0.2"/>
  <cols>
    <col min="1" max="1" width="33.2265625" style="15" customWidth="1"/>
    <col min="2" max="4" width="13.1796875" style="15" bestFit="1" customWidth="1"/>
    <col min="5" max="5" width="13.1796875" style="15" customWidth="1"/>
    <col min="6" max="6" width="4.5703125" style="15" customWidth="1"/>
    <col min="7" max="7" width="9.28125" style="15" customWidth="1"/>
    <col min="8" max="8" width="26.36328125" style="15" bestFit="1" customWidth="1"/>
    <col min="9" max="10" width="11.43359375" style="15"/>
    <col min="11" max="11" width="27.3046875" style="15" customWidth="1"/>
    <col min="12" max="16384" width="11.43359375" style="15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G1" s="1" t="s">
        <v>14</v>
      </c>
      <c r="H1" s="1" t="s">
        <v>15</v>
      </c>
      <c r="I1" s="1"/>
      <c r="J1" s="1"/>
      <c r="K1" s="1" t="s">
        <v>26</v>
      </c>
    </row>
    <row r="2" spans="1:11" x14ac:dyDescent="0.2">
      <c r="A2" s="4" t="s">
        <v>7</v>
      </c>
      <c r="B2" s="2">
        <v>0</v>
      </c>
      <c r="C2" s="2">
        <v>0</v>
      </c>
      <c r="D2" s="2">
        <v>0</v>
      </c>
      <c r="E2" s="2">
        <v>0</v>
      </c>
      <c r="G2" s="11">
        <v>30</v>
      </c>
      <c r="H2" s="22">
        <v>14060.2</v>
      </c>
      <c r="I2" s="10" t="s">
        <v>11</v>
      </c>
      <c r="J2" s="5"/>
      <c r="K2" s="20">
        <v>29798.02</v>
      </c>
    </row>
    <row r="3" spans="1:11" x14ac:dyDescent="0.2">
      <c r="A3" s="4" t="s">
        <v>0</v>
      </c>
      <c r="B3" s="17">
        <v>1151.17</v>
      </c>
      <c r="C3" s="17">
        <v>995.39</v>
      </c>
      <c r="D3" s="17">
        <v>747.37</v>
      </c>
      <c r="E3" s="17">
        <v>622.01</v>
      </c>
      <c r="G3" s="11">
        <v>29</v>
      </c>
      <c r="H3" s="22">
        <v>12611.34</v>
      </c>
      <c r="I3" s="10" t="s">
        <v>11</v>
      </c>
      <c r="J3" s="5"/>
      <c r="K3" s="20">
        <v>28882.98</v>
      </c>
    </row>
    <row r="4" spans="1:11" x14ac:dyDescent="0.2">
      <c r="A4" s="4" t="s">
        <v>5</v>
      </c>
      <c r="B4" s="17">
        <v>44.29</v>
      </c>
      <c r="C4" s="17">
        <v>36.11</v>
      </c>
      <c r="D4" s="17">
        <v>27.33</v>
      </c>
      <c r="E4" s="17">
        <v>18.600000000000001</v>
      </c>
      <c r="G4" s="11">
        <v>28</v>
      </c>
      <c r="H4" s="22">
        <v>12081.23</v>
      </c>
      <c r="I4" s="10" t="s">
        <v>11</v>
      </c>
      <c r="J4" s="5"/>
      <c r="K4" s="20">
        <v>27053.88</v>
      </c>
    </row>
    <row r="5" spans="1:11" x14ac:dyDescent="0.2">
      <c r="A5" s="4" t="s">
        <v>1</v>
      </c>
      <c r="B5" s="17">
        <v>710.36</v>
      </c>
      <c r="C5" s="17">
        <v>725.95</v>
      </c>
      <c r="D5" s="17">
        <v>645.94000000000005</v>
      </c>
      <c r="E5" s="17">
        <v>616.34</v>
      </c>
      <c r="G5" s="11">
        <v>27</v>
      </c>
      <c r="H5" s="22">
        <v>11550.63</v>
      </c>
      <c r="I5" s="10" t="s">
        <v>11</v>
      </c>
      <c r="J5" s="5"/>
      <c r="K5" s="20">
        <v>25225.200000000001</v>
      </c>
    </row>
    <row r="6" spans="1:11" x14ac:dyDescent="0.2">
      <c r="A6" s="4" t="s">
        <v>6</v>
      </c>
      <c r="B6" s="17">
        <v>27.33</v>
      </c>
      <c r="C6" s="17">
        <v>26.33</v>
      </c>
      <c r="D6" s="17">
        <v>23.6</v>
      </c>
      <c r="E6" s="17">
        <v>18.420000000000002</v>
      </c>
      <c r="G6" s="11">
        <v>26</v>
      </c>
      <c r="H6" s="22">
        <v>10133.69</v>
      </c>
      <c r="I6" s="10" t="s">
        <v>16</v>
      </c>
      <c r="J6" s="5"/>
      <c r="K6" s="20">
        <v>24310.02</v>
      </c>
    </row>
    <row r="7" spans="1:11" x14ac:dyDescent="0.2">
      <c r="A7" s="4" t="s">
        <v>19</v>
      </c>
      <c r="B7" s="11">
        <v>26</v>
      </c>
      <c r="C7" s="11">
        <v>18</v>
      </c>
      <c r="D7" s="11">
        <v>18</v>
      </c>
      <c r="E7" s="11">
        <v>14</v>
      </c>
      <c r="G7" s="11">
        <v>25</v>
      </c>
      <c r="H7" s="22">
        <v>8990.7999999999993</v>
      </c>
      <c r="I7" s="10" t="s">
        <v>16</v>
      </c>
      <c r="J7" s="5"/>
      <c r="K7" s="20">
        <v>23090.62</v>
      </c>
    </row>
    <row r="8" spans="1:11" x14ac:dyDescent="0.2">
      <c r="A8" s="4" t="s">
        <v>3</v>
      </c>
      <c r="B8" s="17">
        <f>IF(B7=30,H2,(IF(B7=29,H3,(IF(B7=28,H4,(IF(B7=27,H5,(IF(B7=26,H6,(IF(B7=25,H7,(IF(B7=24,H8,(IF(B7=23,H9,(IF(B7=22,H10,"Nivel Erróneo")))))))))))))))))</f>
        <v>10133.69</v>
      </c>
      <c r="C8" s="17">
        <f>IF(C7=26,H6,(IF(C7=25,H7,(IF(C7=24,H8,(IF(C7=23,H9,(IF(C7=22,H10,(IF(C7=21,H11,(IF(C7=20,H12,(IF(C7=19,H13,(IF(C7=18,H14,"Nivel Erróneo")))))))))))))))))</f>
        <v>5729.99</v>
      </c>
      <c r="D8" s="17">
        <f>IF(D7=22,H10,(IF(D7=21,H11,(IF(D7=20,H12,(IF(D7=19,H13,(IF(D7=18,H14,(IF(D7=17,H15,(IF(D7=16,H16,(IF(D7=15,H17,"Nivel Erróneo")))))))))))))))</f>
        <v>5729.99</v>
      </c>
      <c r="E8" s="17">
        <f>IF(E7=18,H14,(IF(E7=17,H15,(IF(E7=16,H16,(IF(E7=15,H17,(IF(E7=14,H18,"NivelErróneo")))))))))</f>
        <v>4427.08</v>
      </c>
      <c r="G8" s="11">
        <v>24</v>
      </c>
      <c r="H8" s="22">
        <v>8460.27</v>
      </c>
      <c r="I8" s="10" t="s">
        <v>16</v>
      </c>
      <c r="J8" s="5"/>
      <c r="K8" s="20">
        <v>21871.15</v>
      </c>
    </row>
    <row r="9" spans="1:11" x14ac:dyDescent="0.2">
      <c r="A9" s="4" t="s">
        <v>2</v>
      </c>
      <c r="B9" s="17">
        <v>7063.28</v>
      </c>
      <c r="C9" s="17">
        <v>6038.62</v>
      </c>
      <c r="D9" s="17">
        <v>5723.69</v>
      </c>
      <c r="E9" s="17">
        <v>3227.56</v>
      </c>
      <c r="G9" s="11">
        <v>23</v>
      </c>
      <c r="H9" s="22">
        <v>7930.58</v>
      </c>
      <c r="I9" s="10" t="s">
        <v>16</v>
      </c>
      <c r="J9" s="5"/>
      <c r="K9" s="20">
        <v>20346.900000000001</v>
      </c>
    </row>
    <row r="10" spans="1:11" x14ac:dyDescent="0.2">
      <c r="A10" s="4" t="s">
        <v>4</v>
      </c>
      <c r="B10" s="17">
        <v>0</v>
      </c>
      <c r="C10" s="17">
        <v>0</v>
      </c>
      <c r="D10" s="17">
        <v>0</v>
      </c>
      <c r="E10" s="17">
        <v>0</v>
      </c>
      <c r="G10" s="11">
        <v>22</v>
      </c>
      <c r="H10" s="22">
        <v>7399.77</v>
      </c>
      <c r="I10" s="1" t="s">
        <v>17</v>
      </c>
      <c r="J10" s="5"/>
      <c r="K10" s="20">
        <v>19044.55</v>
      </c>
    </row>
    <row r="11" spans="1:11" x14ac:dyDescent="0.2">
      <c r="A11" s="4" t="s">
        <v>9</v>
      </c>
      <c r="B11" s="3">
        <v>11.5</v>
      </c>
      <c r="C11" s="3">
        <v>11.5</v>
      </c>
      <c r="D11" s="3">
        <v>11.5</v>
      </c>
      <c r="E11" s="3">
        <v>11.5</v>
      </c>
      <c r="G11" s="11">
        <v>21</v>
      </c>
      <c r="H11" s="22">
        <v>6870.29</v>
      </c>
      <c r="I11" s="1" t="s">
        <v>18</v>
      </c>
      <c r="J11" s="5"/>
      <c r="K11" s="20">
        <v>18522.28</v>
      </c>
    </row>
    <row r="12" spans="1:11" x14ac:dyDescent="0.2">
      <c r="A12" s="4" t="s">
        <v>20</v>
      </c>
      <c r="B12" s="8">
        <v>4.7</v>
      </c>
      <c r="C12" s="8">
        <v>4.7</v>
      </c>
      <c r="D12" s="8">
        <v>4.7</v>
      </c>
      <c r="E12" s="8">
        <v>4.7</v>
      </c>
      <c r="G12" s="11">
        <v>20</v>
      </c>
      <c r="H12" s="22">
        <v>6381.83</v>
      </c>
      <c r="I12" s="1" t="s">
        <v>18</v>
      </c>
      <c r="J12" s="5"/>
      <c r="K12" s="20">
        <v>18129.79</v>
      </c>
    </row>
    <row r="13" spans="1:11" x14ac:dyDescent="0.2">
      <c r="A13" s="4" t="s">
        <v>22</v>
      </c>
      <c r="B13" s="18">
        <v>48.99</v>
      </c>
      <c r="C13" s="18">
        <v>38.56</v>
      </c>
      <c r="D13" s="18">
        <v>29.61</v>
      </c>
      <c r="E13" s="18">
        <v>23.43</v>
      </c>
      <c r="G13" s="11">
        <v>19</v>
      </c>
      <c r="H13" s="22">
        <v>6056.05</v>
      </c>
      <c r="I13" s="1" t="s">
        <v>18</v>
      </c>
      <c r="J13" s="5"/>
      <c r="K13" s="20">
        <v>16719.080000000002</v>
      </c>
    </row>
    <row r="14" spans="1:11" x14ac:dyDescent="0.2">
      <c r="B14" s="1"/>
      <c r="G14" s="11">
        <v>18</v>
      </c>
      <c r="H14" s="22">
        <v>5729.99</v>
      </c>
      <c r="I14" s="1" t="s">
        <v>24</v>
      </c>
      <c r="J14" s="5"/>
      <c r="K14" s="20">
        <v>16300.55</v>
      </c>
    </row>
    <row r="15" spans="1:11" x14ac:dyDescent="0.2">
      <c r="A15" s="4" t="s">
        <v>8</v>
      </c>
      <c r="B15" s="19">
        <f>((B3+(B4*B2)+(B8/14)+(B9/14)+(B10/12))*((100-B11-B12)/100))-B13-(((B5+(B6*B2)+(B8/14)+(B9/14))/6)*(B12/100))</f>
        <v>1929.8653491666666</v>
      </c>
      <c r="C15" s="19">
        <f>((C3+(C4*C2)+(C8/14)+(C9/14)+(C10/12))*((100-C11-C12)/100))-C13-(((C5+(C6*C2)+(C8/14)+(C9/14))/6)*(C12/100))</f>
        <v>1487.7407641666666</v>
      </c>
      <c r="D15" s="19">
        <f>((D3+(D4*D2)+(D8/14)+(D9/14)+(D10/12))*((100-D11-D12)/100))-D13-(((D5+(D6*D2)+(D8/14)+(D9/14))/6)*(D12/100))</f>
        <v>1270.80215</v>
      </c>
      <c r="E15" s="19">
        <f>((E3+(E4*E2)+(E8/14)+(E9/14)+(E10/12))*((100-E11-E12)/100))-E13-(((E5+(E6*E2)+(E8/14)+(E9/14))/6)*(E12/100))</f>
        <v>946.88831000000005</v>
      </c>
      <c r="G15" s="11">
        <v>17</v>
      </c>
      <c r="H15" s="22">
        <v>5404.07</v>
      </c>
      <c r="I15" s="9" t="s">
        <v>25</v>
      </c>
      <c r="J15" s="5"/>
      <c r="K15" s="20">
        <v>15081.5</v>
      </c>
    </row>
    <row r="16" spans="1:11" x14ac:dyDescent="0.2">
      <c r="A16" s="4" t="s">
        <v>10</v>
      </c>
      <c r="B16" s="19">
        <f>((B5+(B6*B2)+(B8/14)+(B9/14))*((100-B11)/100))-B13</f>
        <v>1666.7727750000001</v>
      </c>
      <c r="C16" s="19">
        <f>((C5+(C6*C2)+(C8/14)+(C9/14))*((100-C11)/100))-C13</f>
        <v>1347.8500250000002</v>
      </c>
      <c r="D16" s="19">
        <f>((D5+(D6*D2)+(D8/14)+(D9/14))*((100-D11)/100))-D13</f>
        <v>1266.0831000000001</v>
      </c>
      <c r="E16" s="19">
        <f>((E5+(E6*E2)+(E8/14)+(E9/14))*((100-E11)/100))-E13</f>
        <v>1005.9135</v>
      </c>
      <c r="G16" s="11">
        <v>16</v>
      </c>
      <c r="H16" s="22">
        <v>5078.92</v>
      </c>
      <c r="I16" s="9" t="s">
        <v>25</v>
      </c>
      <c r="J16" s="5"/>
      <c r="K16" s="20">
        <v>15063.51</v>
      </c>
    </row>
    <row r="17" spans="1:11" x14ac:dyDescent="0.2">
      <c r="B17" s="19"/>
      <c r="C17" s="19"/>
      <c r="D17" s="19"/>
      <c r="E17" s="19"/>
      <c r="G17" s="11">
        <v>15</v>
      </c>
      <c r="H17" s="22">
        <v>4752.58</v>
      </c>
      <c r="I17" s="9" t="s">
        <v>25</v>
      </c>
      <c r="J17" s="5"/>
      <c r="K17" s="20">
        <v>14965.09</v>
      </c>
    </row>
    <row r="18" spans="1:11" x14ac:dyDescent="0.2">
      <c r="A18" s="16" t="s">
        <v>27</v>
      </c>
      <c r="B18" s="21">
        <f t="shared" ref="B18:C18" si="0">B3*12+(B4*B2)*12+B5*2+(B6*B2)*2+B8+B9+B10</f>
        <v>32431.73</v>
      </c>
      <c r="C18" s="21">
        <f t="shared" si="0"/>
        <v>25165.19</v>
      </c>
      <c r="D18" s="21">
        <f>D3*12+(D4*D2)*12+D5*2+(D6*D2)*2+D8+D9+D10</f>
        <v>21714</v>
      </c>
      <c r="E18" s="21">
        <f>E3*12+(E4*E2)*12+E5*2+(E6*E2)*2+E8+E9+E10</f>
        <v>16351.439999999999</v>
      </c>
      <c r="G18" s="11">
        <v>14</v>
      </c>
      <c r="H18" s="22">
        <v>4427.08</v>
      </c>
      <c r="I18" s="13" t="s">
        <v>23</v>
      </c>
      <c r="K18" s="20">
        <v>14166.53</v>
      </c>
    </row>
    <row r="19" spans="1:11" x14ac:dyDescent="0.2">
      <c r="A19" s="16" t="s">
        <v>28</v>
      </c>
      <c r="B19" s="21">
        <f t="shared" ref="B19:C19" si="1">B15*12+B16*2</f>
        <v>26491.92974</v>
      </c>
      <c r="C19" s="21">
        <f t="shared" si="1"/>
        <v>20548.589219999998</v>
      </c>
      <c r="D19" s="21">
        <f>D15*12+D16*2</f>
        <v>17781.792000000001</v>
      </c>
      <c r="E19" s="21">
        <f>E15*12+E16*2</f>
        <v>13374.486719999999</v>
      </c>
      <c r="K19" s="20">
        <v>13842.78</v>
      </c>
    </row>
    <row r="20" spans="1:11" x14ac:dyDescent="0.2">
      <c r="B20" s="5"/>
      <c r="K20" s="20">
        <v>13828.43</v>
      </c>
    </row>
    <row r="21" spans="1:11" x14ac:dyDescent="0.2">
      <c r="B21" s="5"/>
      <c r="K21" s="20">
        <v>13598.55</v>
      </c>
    </row>
    <row r="22" spans="1:11" x14ac:dyDescent="0.2">
      <c r="K22" s="20">
        <v>13575.31</v>
      </c>
    </row>
    <row r="23" spans="1:11" x14ac:dyDescent="0.2">
      <c r="K23" s="20">
        <v>13479.27</v>
      </c>
    </row>
    <row r="24" spans="1:11" x14ac:dyDescent="0.2">
      <c r="K24" s="20">
        <v>12997.67</v>
      </c>
    </row>
    <row r="25" spans="1:11" x14ac:dyDescent="0.2">
      <c r="K25" s="20">
        <v>12584.04</v>
      </c>
    </row>
    <row r="26" spans="1:11" x14ac:dyDescent="0.2">
      <c r="K26" s="20">
        <v>12382.86</v>
      </c>
    </row>
    <row r="27" spans="1:11" x14ac:dyDescent="0.2">
      <c r="K27" s="20">
        <v>12219.55</v>
      </c>
    </row>
    <row r="28" spans="1:11" x14ac:dyDescent="0.2">
      <c r="K28" s="20">
        <v>12201.21</v>
      </c>
    </row>
    <row r="29" spans="1:11" x14ac:dyDescent="0.2">
      <c r="A29" s="15" t="s">
        <v>21</v>
      </c>
      <c r="B29" s="5"/>
      <c r="K29" s="20">
        <v>12181.33</v>
      </c>
    </row>
    <row r="30" spans="1:11" x14ac:dyDescent="0.2">
      <c r="K30" s="20">
        <v>12176.5</v>
      </c>
    </row>
    <row r="31" spans="1:11" x14ac:dyDescent="0.2">
      <c r="K31" s="20">
        <v>12101.39</v>
      </c>
    </row>
    <row r="32" spans="1:11" x14ac:dyDescent="0.2">
      <c r="K32" s="20">
        <v>11597.18</v>
      </c>
    </row>
    <row r="33" spans="11:11" x14ac:dyDescent="0.2">
      <c r="K33" s="20">
        <v>11461.66</v>
      </c>
    </row>
    <row r="34" spans="11:11" x14ac:dyDescent="0.2">
      <c r="K34" s="20">
        <v>11373.46</v>
      </c>
    </row>
    <row r="35" spans="11:11" x14ac:dyDescent="0.2">
      <c r="K35" s="20">
        <v>11120.2</v>
      </c>
    </row>
    <row r="36" spans="11:11" x14ac:dyDescent="0.2">
      <c r="K36" s="20">
        <v>10968.79</v>
      </c>
    </row>
    <row r="37" spans="11:11" x14ac:dyDescent="0.2">
      <c r="K37" s="20">
        <v>10954.23</v>
      </c>
    </row>
    <row r="38" spans="11:11" x14ac:dyDescent="0.2">
      <c r="K38" s="20">
        <v>10867.57</v>
      </c>
    </row>
    <row r="39" spans="11:11" x14ac:dyDescent="0.2">
      <c r="K39" s="20">
        <v>10683.54</v>
      </c>
    </row>
    <row r="40" spans="11:11" x14ac:dyDescent="0.2">
      <c r="K40" s="20">
        <v>10657.5</v>
      </c>
    </row>
    <row r="41" spans="11:11" x14ac:dyDescent="0.2">
      <c r="K41" s="20">
        <v>10345.719999999999</v>
      </c>
    </row>
    <row r="42" spans="11:11" x14ac:dyDescent="0.2">
      <c r="K42" s="20">
        <v>10123.26</v>
      </c>
    </row>
    <row r="43" spans="11:11" x14ac:dyDescent="0.2">
      <c r="K43" s="20">
        <v>9922.7099999999991</v>
      </c>
    </row>
    <row r="44" spans="11:11" x14ac:dyDescent="0.2">
      <c r="K44" s="20">
        <v>9299.5</v>
      </c>
    </row>
    <row r="45" spans="11:11" x14ac:dyDescent="0.2">
      <c r="K45" s="20">
        <v>9259.25</v>
      </c>
    </row>
    <row r="46" spans="11:11" x14ac:dyDescent="0.2">
      <c r="K46" s="20">
        <v>9179.52</v>
      </c>
    </row>
    <row r="47" spans="11:11" x14ac:dyDescent="0.2">
      <c r="K47" s="20">
        <v>9030.49</v>
      </c>
    </row>
    <row r="48" spans="11:11" x14ac:dyDescent="0.2">
      <c r="K48" s="20">
        <v>8942.2199999999993</v>
      </c>
    </row>
    <row r="49" spans="11:11" x14ac:dyDescent="0.2">
      <c r="K49" s="20">
        <v>8471.4699999999993</v>
      </c>
    </row>
    <row r="50" spans="11:11" x14ac:dyDescent="0.2">
      <c r="K50" s="20">
        <v>8407.56</v>
      </c>
    </row>
    <row r="51" spans="11:11" x14ac:dyDescent="0.2">
      <c r="K51" s="20">
        <v>8326.7099999999991</v>
      </c>
    </row>
    <row r="52" spans="11:11" x14ac:dyDescent="0.2">
      <c r="K52" s="20">
        <v>8153.46</v>
      </c>
    </row>
    <row r="53" spans="11:11" x14ac:dyDescent="0.2">
      <c r="K53" s="20">
        <v>8046.64</v>
      </c>
    </row>
    <row r="54" spans="11:11" x14ac:dyDescent="0.2">
      <c r="K54" s="20">
        <v>8001.07</v>
      </c>
    </row>
    <row r="55" spans="11:11" x14ac:dyDescent="0.2">
      <c r="K55" s="20">
        <v>7982.17</v>
      </c>
    </row>
    <row r="56" spans="11:11" x14ac:dyDescent="0.2">
      <c r="K56" s="20">
        <v>7934.5</v>
      </c>
    </row>
    <row r="57" spans="11:11" x14ac:dyDescent="0.2">
      <c r="K57" s="20">
        <v>7864.43</v>
      </c>
    </row>
    <row r="58" spans="11:11" x14ac:dyDescent="0.2">
      <c r="K58" s="20">
        <v>7855.05</v>
      </c>
    </row>
    <row r="59" spans="11:11" x14ac:dyDescent="0.2">
      <c r="K59" s="20">
        <v>7827.82</v>
      </c>
    </row>
    <row r="60" spans="11:11" x14ac:dyDescent="0.2">
      <c r="K60" s="20">
        <v>7811.72</v>
      </c>
    </row>
    <row r="61" spans="11:11" x14ac:dyDescent="0.2">
      <c r="K61" s="20">
        <v>7530.39</v>
      </c>
    </row>
    <row r="62" spans="11:11" x14ac:dyDescent="0.2">
      <c r="K62" s="20">
        <v>7319.41</v>
      </c>
    </row>
    <row r="63" spans="11:11" x14ac:dyDescent="0.2">
      <c r="K63" s="20">
        <v>7261.52</v>
      </c>
    </row>
    <row r="64" spans="11:11" x14ac:dyDescent="0.2">
      <c r="K64" s="20">
        <v>7251.02</v>
      </c>
    </row>
    <row r="65" spans="11:11" x14ac:dyDescent="0.2">
      <c r="K65" s="20">
        <v>7072.03</v>
      </c>
    </row>
    <row r="66" spans="11:11" x14ac:dyDescent="0.2">
      <c r="K66" s="20">
        <v>6988.59</v>
      </c>
    </row>
    <row r="67" spans="11:11" x14ac:dyDescent="0.2">
      <c r="K67" s="20">
        <v>6898.92</v>
      </c>
    </row>
    <row r="68" spans="11:11" x14ac:dyDescent="0.2">
      <c r="K68" s="20">
        <v>6720.21</v>
      </c>
    </row>
    <row r="69" spans="11:11" x14ac:dyDescent="0.2">
      <c r="K69" s="20">
        <v>6696.2</v>
      </c>
    </row>
    <row r="70" spans="11:11" x14ac:dyDescent="0.2">
      <c r="K70" s="20">
        <v>6692.42</v>
      </c>
    </row>
    <row r="71" spans="11:11" x14ac:dyDescent="0.2">
      <c r="K71" s="20">
        <v>6291.81</v>
      </c>
    </row>
    <row r="72" spans="11:11" x14ac:dyDescent="0.2">
      <c r="K72" s="20">
        <v>6185.13</v>
      </c>
    </row>
    <row r="73" spans="11:11" x14ac:dyDescent="0.2">
      <c r="K73" s="20">
        <v>6184.99</v>
      </c>
    </row>
    <row r="74" spans="11:11" x14ac:dyDescent="0.2">
      <c r="K74" s="20">
        <v>6046.11</v>
      </c>
    </row>
    <row r="75" spans="11:11" x14ac:dyDescent="0.2">
      <c r="K75" s="20">
        <v>5980.52</v>
      </c>
    </row>
    <row r="76" spans="11:11" x14ac:dyDescent="0.2">
      <c r="K76" s="20">
        <v>5732.09</v>
      </c>
    </row>
    <row r="77" spans="11:11" x14ac:dyDescent="0.2">
      <c r="K77" s="20">
        <v>5723.69</v>
      </c>
    </row>
    <row r="78" spans="11:11" x14ac:dyDescent="0.2">
      <c r="K78" s="20">
        <v>5718.37</v>
      </c>
    </row>
    <row r="79" spans="11:11" x14ac:dyDescent="0.2">
      <c r="K79" s="20">
        <v>5668.74</v>
      </c>
    </row>
    <row r="80" spans="11:11" x14ac:dyDescent="0.2">
      <c r="K80" s="20">
        <v>5382.65</v>
      </c>
    </row>
    <row r="81" spans="11:11" x14ac:dyDescent="0.2">
      <c r="K81" s="20">
        <v>5346.46</v>
      </c>
    </row>
    <row r="82" spans="11:11" x14ac:dyDescent="0.2">
      <c r="K82" s="20">
        <v>5234.46</v>
      </c>
    </row>
    <row r="83" spans="11:11" x14ac:dyDescent="0.2">
      <c r="K83" s="20">
        <v>5052.1099999999997</v>
      </c>
    </row>
    <row r="84" spans="11:11" x14ac:dyDescent="0.2">
      <c r="K84" s="20">
        <v>4955.58</v>
      </c>
    </row>
    <row r="85" spans="11:11" x14ac:dyDescent="0.2">
      <c r="K85" s="20">
        <v>4820.55</v>
      </c>
    </row>
    <row r="86" spans="11:11" x14ac:dyDescent="0.2">
      <c r="K86" s="20">
        <v>4801.2299999999996</v>
      </c>
    </row>
    <row r="87" spans="11:11" x14ac:dyDescent="0.2">
      <c r="K87" s="20">
        <v>4798.29</v>
      </c>
    </row>
    <row r="88" spans="11:11" x14ac:dyDescent="0.2">
      <c r="K88" s="20">
        <v>4754.12</v>
      </c>
    </row>
    <row r="89" spans="11:11" x14ac:dyDescent="0.2">
      <c r="K89" s="20">
        <v>4741.24</v>
      </c>
    </row>
    <row r="90" spans="11:11" x14ac:dyDescent="0.2">
      <c r="K90" s="20">
        <v>4709.95</v>
      </c>
    </row>
    <row r="91" spans="11:11" x14ac:dyDescent="0.2">
      <c r="K91" s="20">
        <v>4707.43</v>
      </c>
    </row>
    <row r="92" spans="11:11" x14ac:dyDescent="0.2">
      <c r="K92" s="20">
        <v>4644.3599999999997</v>
      </c>
    </row>
    <row r="93" spans="11:11" x14ac:dyDescent="0.2">
      <c r="K93" s="20">
        <v>4599.49</v>
      </c>
    </row>
    <row r="94" spans="11:11" x14ac:dyDescent="0.2">
      <c r="K94" s="20">
        <v>4592.3500000000004</v>
      </c>
    </row>
    <row r="95" spans="11:11" x14ac:dyDescent="0.2">
      <c r="K95" s="20">
        <v>4573.17</v>
      </c>
    </row>
    <row r="96" spans="11:11" x14ac:dyDescent="0.2">
      <c r="K96" s="20">
        <v>4521.58</v>
      </c>
    </row>
    <row r="97" spans="11:11" x14ac:dyDescent="0.2">
      <c r="K97" s="20">
        <v>4520.6000000000004</v>
      </c>
    </row>
    <row r="98" spans="11:11" x14ac:dyDescent="0.2">
      <c r="K98" s="20">
        <v>4322.3599999999997</v>
      </c>
    </row>
    <row r="99" spans="11:11" x14ac:dyDescent="0.2">
      <c r="K99" s="20">
        <v>4316.62</v>
      </c>
    </row>
    <row r="100" spans="11:11" x14ac:dyDescent="0.2">
      <c r="K100" s="20">
        <v>4312.42</v>
      </c>
    </row>
    <row r="101" spans="11:11" x14ac:dyDescent="0.2">
      <c r="K101" s="20">
        <v>4255.6499999999996</v>
      </c>
    </row>
    <row r="102" spans="11:11" x14ac:dyDescent="0.2">
      <c r="K102" s="20">
        <v>4245.43</v>
      </c>
    </row>
    <row r="103" spans="11:11" x14ac:dyDescent="0.2">
      <c r="K103" s="20">
        <v>4056.36</v>
      </c>
    </row>
    <row r="104" spans="11:11" x14ac:dyDescent="0.2">
      <c r="K104" s="20">
        <v>4004.91</v>
      </c>
    </row>
    <row r="105" spans="11:11" x14ac:dyDescent="0.2">
      <c r="K105" s="20">
        <v>3760.75</v>
      </c>
    </row>
    <row r="106" spans="11:11" x14ac:dyDescent="0.2">
      <c r="K106" s="20">
        <v>3750.46</v>
      </c>
    </row>
    <row r="107" spans="11:11" x14ac:dyDescent="0.2">
      <c r="K107" s="20">
        <v>3746.4</v>
      </c>
    </row>
    <row r="108" spans="11:11" x14ac:dyDescent="0.2">
      <c r="K108" s="20">
        <v>3720.36</v>
      </c>
    </row>
    <row r="109" spans="11:11" x14ac:dyDescent="0.2">
      <c r="K109" s="20">
        <v>3659.25</v>
      </c>
    </row>
    <row r="110" spans="11:11" x14ac:dyDescent="0.2">
      <c r="K110" s="20">
        <v>3500.7</v>
      </c>
    </row>
    <row r="111" spans="11:11" x14ac:dyDescent="0.2">
      <c r="K111" s="20">
        <v>3231.55</v>
      </c>
    </row>
  </sheetData>
  <dataConsolidate/>
  <dataValidations count="6">
    <dataValidation type="list" allowBlank="1" showInputMessage="1" showErrorMessage="1" sqref="B9:E9" xr:uid="{00000000-0002-0000-0200-000000000000}">
      <formula1>$K$2:$K$111</formula1>
    </dataValidation>
    <dataValidation type="list" allowBlank="1" showInputMessage="1" showErrorMessage="1" sqref="B2:E2" xr:uid="{00000000-0002-0000-0200-000001000000}">
      <formula1>"0,1,2,3,4,5,6,7,8,9,10,11,12,13,14,15,16,17"</formula1>
    </dataValidation>
    <dataValidation type="list" allowBlank="1" showInputMessage="1" showErrorMessage="1" sqref="B7" xr:uid="{00000000-0002-0000-0200-000002000000}">
      <formula1>"22,23,24,25,26,27,28,29,30"</formula1>
    </dataValidation>
    <dataValidation type="list" allowBlank="1" showInputMessage="1" showErrorMessage="1" sqref="C7" xr:uid="{00000000-0002-0000-0200-000003000000}">
      <formula1>"18,19,20,21,22,23,24,25,26"</formula1>
    </dataValidation>
    <dataValidation type="list" allowBlank="1" showInputMessage="1" showErrorMessage="1" sqref="D7" xr:uid="{00000000-0002-0000-0200-000004000000}">
      <formula1>"15,16,17,18,19,20,21,22"</formula1>
    </dataValidation>
    <dataValidation type="list" allowBlank="1" showInputMessage="1" showErrorMessage="1" sqref="E7" xr:uid="{00000000-0002-0000-0200-000005000000}">
      <formula1>"14,15,16,17,18"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K111"/>
  <sheetViews>
    <sheetView workbookViewId="0">
      <selection activeCell="C25" sqref="C25"/>
    </sheetView>
  </sheetViews>
  <sheetFormatPr defaultColWidth="11.43359375" defaultRowHeight="15" x14ac:dyDescent="0.2"/>
  <cols>
    <col min="1" max="1" width="33.2265625" style="15" customWidth="1"/>
    <col min="2" max="2" width="15.19921875" style="15" bestFit="1" customWidth="1"/>
    <col min="3" max="5" width="14.125" style="15" bestFit="1" customWidth="1"/>
    <col min="6" max="6" width="4.5703125" style="15" customWidth="1"/>
    <col min="7" max="7" width="9.28125" style="15" customWidth="1"/>
    <col min="8" max="8" width="26.36328125" style="15" bestFit="1" customWidth="1"/>
    <col min="9" max="10" width="11.43359375" style="15"/>
    <col min="11" max="11" width="27.3046875" style="15" customWidth="1"/>
    <col min="12" max="16384" width="11.43359375" style="15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H1" s="1" t="s">
        <v>7</v>
      </c>
      <c r="J1" s="1"/>
      <c r="K1" s="1" t="s">
        <v>26</v>
      </c>
    </row>
    <row r="2" spans="1:11" x14ac:dyDescent="0.2">
      <c r="A2" s="4" t="s">
        <v>0</v>
      </c>
      <c r="B2" s="17">
        <v>1177.08</v>
      </c>
      <c r="C2" s="17">
        <v>1017.79</v>
      </c>
      <c r="D2" s="17">
        <v>764.19</v>
      </c>
      <c r="E2" s="17">
        <v>636.01</v>
      </c>
      <c r="H2" s="1" t="s">
        <v>11</v>
      </c>
      <c r="I2" s="2">
        <v>0</v>
      </c>
      <c r="J2" s="5"/>
      <c r="K2" s="22">
        <v>30506</v>
      </c>
    </row>
    <row r="3" spans="1:11" x14ac:dyDescent="0.2">
      <c r="A3" s="4" t="s">
        <v>5</v>
      </c>
      <c r="B3" s="17">
        <v>45.29</v>
      </c>
      <c r="C3" s="17">
        <v>36.93</v>
      </c>
      <c r="D3" s="17">
        <v>27.95</v>
      </c>
      <c r="E3" s="17">
        <v>19.02</v>
      </c>
      <c r="H3" s="1" t="s">
        <v>12</v>
      </c>
      <c r="I3" s="2">
        <v>0</v>
      </c>
      <c r="J3" s="5"/>
      <c r="K3" s="22">
        <v>29569.26</v>
      </c>
    </row>
    <row r="4" spans="1:11" x14ac:dyDescent="0.2">
      <c r="A4" s="4" t="s">
        <v>1</v>
      </c>
      <c r="B4" s="17">
        <v>726.35</v>
      </c>
      <c r="C4" s="17">
        <v>742.29</v>
      </c>
      <c r="D4" s="17">
        <v>660.48</v>
      </c>
      <c r="E4" s="17">
        <v>630.21</v>
      </c>
      <c r="H4" s="1" t="s">
        <v>13</v>
      </c>
      <c r="I4" s="2">
        <v>0</v>
      </c>
      <c r="J4" s="5"/>
      <c r="K4" s="22">
        <v>27696.76</v>
      </c>
    </row>
    <row r="5" spans="1:11" x14ac:dyDescent="0.2">
      <c r="A5" s="4" t="s">
        <v>6</v>
      </c>
      <c r="B5" s="17">
        <v>27.95</v>
      </c>
      <c r="C5" s="17">
        <v>26.93</v>
      </c>
      <c r="D5" s="17">
        <v>24.14</v>
      </c>
      <c r="E5" s="17">
        <v>18.84</v>
      </c>
      <c r="H5" s="1" t="s">
        <v>23</v>
      </c>
      <c r="I5" s="2">
        <v>0</v>
      </c>
      <c r="J5" s="5"/>
      <c r="K5" s="22">
        <v>25824.68</v>
      </c>
    </row>
    <row r="6" spans="1:11" x14ac:dyDescent="0.2">
      <c r="A6" s="4" t="s">
        <v>19</v>
      </c>
      <c r="B6" s="11">
        <v>26</v>
      </c>
      <c r="C6" s="11">
        <v>18</v>
      </c>
      <c r="D6" s="11">
        <v>15</v>
      </c>
      <c r="E6" s="11">
        <v>14</v>
      </c>
      <c r="J6" s="5"/>
      <c r="K6" s="22">
        <v>24887.66</v>
      </c>
    </row>
    <row r="7" spans="1:11" x14ac:dyDescent="0.2">
      <c r="A7" s="4" t="s">
        <v>3</v>
      </c>
      <c r="B7" s="17">
        <f>IF(B6=30,H8,(IF(B6=29,H9,(IF(B6=28,H10,(IF(B6=27,H11,(IF(B6=26,H12,(IF(B6=25,H13,(IF(B6=24,H14,(IF(B6=23,H15,(IF(B6=22,H16,"Nivel Erróneo")))))))))))))))))</f>
        <v>10374.56</v>
      </c>
      <c r="C7" s="17">
        <f>IF(C6=26,H12,(IF(C6=25,H13,(IF(C6=24,H14,(IF(C6=23,H15,(IF(C6=22,H16,(IF(C6=21,H17,(IF(C6=20,H18,(IF(C6=19,H19,(IF(C6=18,H20,"Nivel Erróneo")))))))))))))))))</f>
        <v>5866.28</v>
      </c>
      <c r="D7" s="17">
        <f>IF(D6=22,H16,(IF(D6=21,H17,(IF(D6=20,H18,(IF(D6=19,H19,(IF(D6=18,H20,(IF(D6=17,H21,(IF(D6=16,H22,(IF(D6=15,H23,"Nivel Erróneo")))))))))))))))</f>
        <v>4865.5600000000004</v>
      </c>
      <c r="E7" s="17">
        <f>IF(E6=18,H20,(IF(E6=17,H21,(IF(E6=16,H22,(IF(E6=15,H23,(IF(E6=14,H24,"NivelErróneo")))))))))</f>
        <v>4532.3599999999997</v>
      </c>
      <c r="G7" s="1" t="s">
        <v>14</v>
      </c>
      <c r="H7" s="1" t="s">
        <v>15</v>
      </c>
      <c r="I7" s="1"/>
      <c r="J7" s="5"/>
      <c r="K7" s="22">
        <v>23639.279999999999</v>
      </c>
    </row>
    <row r="8" spans="1:11" x14ac:dyDescent="0.2">
      <c r="A8" s="4" t="s">
        <v>2</v>
      </c>
      <c r="B8" s="17">
        <v>12389.02</v>
      </c>
      <c r="C8" s="17">
        <v>10363.780000000001</v>
      </c>
      <c r="D8" s="17">
        <v>5859.84</v>
      </c>
      <c r="E8" s="17">
        <v>3227.56</v>
      </c>
      <c r="G8" s="11">
        <v>30</v>
      </c>
      <c r="H8" s="22">
        <v>14394.38</v>
      </c>
      <c r="I8" s="10" t="s">
        <v>11</v>
      </c>
      <c r="J8" s="5"/>
      <c r="K8" s="22">
        <v>22390.9</v>
      </c>
    </row>
    <row r="9" spans="1:11" x14ac:dyDescent="0.2">
      <c r="A9" s="4" t="s">
        <v>4</v>
      </c>
      <c r="B9" s="17">
        <v>0</v>
      </c>
      <c r="C9" s="17">
        <v>0</v>
      </c>
      <c r="D9" s="17">
        <v>0</v>
      </c>
      <c r="E9" s="17">
        <v>0</v>
      </c>
      <c r="G9" s="11">
        <v>29</v>
      </c>
      <c r="H9" s="22">
        <v>12911.08</v>
      </c>
      <c r="I9" s="10" t="s">
        <v>11</v>
      </c>
      <c r="J9" s="5"/>
      <c r="K9" s="22">
        <v>20830.46</v>
      </c>
    </row>
    <row r="10" spans="1:11" x14ac:dyDescent="0.2">
      <c r="A10" s="4" t="s">
        <v>9</v>
      </c>
      <c r="B10" s="3">
        <v>11.5</v>
      </c>
      <c r="C10" s="3">
        <v>11.5</v>
      </c>
      <c r="D10" s="3">
        <v>11.5</v>
      </c>
      <c r="E10" s="3">
        <v>11.5</v>
      </c>
      <c r="G10" s="11">
        <v>28</v>
      </c>
      <c r="H10" s="22">
        <v>12368.44</v>
      </c>
      <c r="I10" s="10" t="s">
        <v>11</v>
      </c>
      <c r="J10" s="5"/>
      <c r="K10" s="22">
        <v>19497.099999999999</v>
      </c>
    </row>
    <row r="11" spans="1:11" x14ac:dyDescent="0.2">
      <c r="A11" s="4" t="s">
        <v>20</v>
      </c>
      <c r="B11" s="8">
        <v>4.7</v>
      </c>
      <c r="C11" s="8">
        <v>4.7</v>
      </c>
      <c r="D11" s="8">
        <v>4.7</v>
      </c>
      <c r="E11" s="8">
        <v>4.7</v>
      </c>
      <c r="G11" s="11">
        <v>27</v>
      </c>
      <c r="H11" s="22">
        <v>11825.1</v>
      </c>
      <c r="I11" s="10" t="s">
        <v>11</v>
      </c>
      <c r="J11" s="5"/>
      <c r="K11" s="22">
        <v>18962.439999999999</v>
      </c>
    </row>
    <row r="12" spans="1:11" x14ac:dyDescent="0.2">
      <c r="A12" s="4" t="s">
        <v>22</v>
      </c>
      <c r="B12" s="18">
        <v>48.99</v>
      </c>
      <c r="C12" s="18">
        <v>38.56</v>
      </c>
      <c r="D12" s="18">
        <v>29.61</v>
      </c>
      <c r="E12" s="18">
        <v>23.43</v>
      </c>
      <c r="G12" s="11">
        <v>26</v>
      </c>
      <c r="H12" s="22">
        <v>10374.56</v>
      </c>
      <c r="I12" s="10" t="s">
        <v>16</v>
      </c>
      <c r="J12" s="5"/>
      <c r="K12" s="22">
        <v>18560.64</v>
      </c>
    </row>
    <row r="13" spans="1:11" x14ac:dyDescent="0.2">
      <c r="B13" s="1"/>
      <c r="G13" s="11">
        <v>25</v>
      </c>
      <c r="H13" s="22">
        <v>9204.44</v>
      </c>
      <c r="I13" s="10" t="s">
        <v>16</v>
      </c>
      <c r="J13" s="5"/>
      <c r="K13" s="22">
        <v>17116.400000000001</v>
      </c>
    </row>
    <row r="14" spans="1:11" x14ac:dyDescent="0.2">
      <c r="A14" s="4" t="s">
        <v>8</v>
      </c>
      <c r="B14" s="19">
        <f>((B2+(B3*I2)+(C3*I3)+(D3*I4)+(E3*I5)+(B7/14)+(B8/14)+(B9/12))*((100-B10-B11)/100))-B12-(((B4+(B5*I2)+(C5*I3)+(D5*I4)+(E5*I5)+(B7/14)+(B8/14))/6)*(B11/100))</f>
        <v>2281.5393933333335</v>
      </c>
      <c r="C14" s="19">
        <f>((C2+(B3*I2)+(C3*I3)+(D3*I4)+(E3*I5)+(C7/14)+(C8/14)+(C9/12))*((100-C10-C11)/100))-C12-(((C4+(B5*I2)+(C5*I3)+(D5*I4)+(E5*I5)+(C7/14)+(C8/14))/6)*(C11/100))</f>
        <v>1770.93733</v>
      </c>
      <c r="D14" s="19">
        <f>((D2+(B3*I2)+(C3*I3)+(D3*I4)+(E3*I5)+(D7/14)+(D8/14)+(D9/12))*((100-D10-D11)/100))-D12-(((D4+(B5*I2)+(C5*I3)+(D5*I4)+(E5*I5)+(D7/14)+(D8/14))/6)*(D11/100))</f>
        <v>1241.5981433333334</v>
      </c>
      <c r="E14" s="19">
        <f>((E2+(B3*I2)+(C3*I3)+(D3*I4)+(E3*I5)+(E7/14)+(E8/14)+(E9/12))*((100-E10-E11)/100))-E12-(((E4+(B5*I2)+(C5*I3)+(D5*I4)+(E5*I5)+(E7/14)+(E8/14))/6)*(E11/100))</f>
        <v>964.75451499999997</v>
      </c>
      <c r="G14" s="11">
        <v>24</v>
      </c>
      <c r="H14" s="22">
        <v>8661.3799999999992</v>
      </c>
      <c r="I14" s="10" t="s">
        <v>16</v>
      </c>
      <c r="J14" s="5"/>
      <c r="K14" s="22">
        <v>16687.86</v>
      </c>
    </row>
    <row r="15" spans="1:11" x14ac:dyDescent="0.2">
      <c r="A15" s="4" t="s">
        <v>10</v>
      </c>
      <c r="B15" s="19">
        <f>((B4+(B5*I2)+(C5*I3)+(D5*I4)+(E5*I5)+(B7/14)+(B8/14))*((100-B10)/100))-B12</f>
        <v>2032.8131999999998</v>
      </c>
      <c r="C15" s="19">
        <f>((C4+(B5*I2)+(C5*I3)+(D5*I4)+(E5*I5)+(C7/14)+(C8/14))*((100-C10)/100))-C12</f>
        <v>1644.3383000000001</v>
      </c>
      <c r="D15" s="19">
        <f>((D4+(B5*I2)+(C5*I3)+(D5*I4)+(E5*I5)+(D7/14)+(D8/14))*((100-D10)/100))-D12</f>
        <v>1232.9132999999999</v>
      </c>
      <c r="E15" s="19">
        <f>((E4+(B5*I2)+(C5*I3)+(D5*I4)+(E5*I5)+(E7/14)+(E8/14))*((100-E10)/100))-E12</f>
        <v>1024.84365</v>
      </c>
      <c r="G15" s="11">
        <v>23</v>
      </c>
      <c r="H15" s="22">
        <v>8119.16</v>
      </c>
      <c r="I15" s="10" t="s">
        <v>16</v>
      </c>
      <c r="J15" s="5"/>
      <c r="K15" s="22">
        <v>15439.9</v>
      </c>
    </row>
    <row r="16" spans="1:11" x14ac:dyDescent="0.2">
      <c r="B16" s="19"/>
      <c r="C16" s="19"/>
      <c r="D16" s="19"/>
      <c r="E16" s="19"/>
      <c r="G16" s="11">
        <v>22</v>
      </c>
      <c r="H16" s="22">
        <v>7575.68</v>
      </c>
      <c r="I16" s="1" t="s">
        <v>17</v>
      </c>
      <c r="J16" s="5"/>
      <c r="K16" s="22">
        <v>15421.42</v>
      </c>
    </row>
    <row r="17" spans="1:11" x14ac:dyDescent="0.2">
      <c r="A17" s="16" t="s">
        <v>27</v>
      </c>
      <c r="B17" s="21">
        <f>B2*12+((B3*I2)+(C3*I3)+(D3*I4)+(E3*I5))*12+B4*2+((B5*I2)+(C5*I3)+(D5*I4)+(E5*I5))*2+B7+B8+B9</f>
        <v>38341.240000000005</v>
      </c>
      <c r="C17" s="21">
        <f>C2*12+((B3*I2)+(C3*I3)+(D3*I4)+(E3*I5))*12+C4*2+((B5*I2)+(C5*I3)+(D5*I4)+(E5*I5))*2+C7+C8+C9</f>
        <v>29928.120000000003</v>
      </c>
      <c r="D17" s="21">
        <f>D2*12+((B3*I2)+(C3*I3)+(D3*I4)+(E3*I5))*12+D4*2+((B5*I2)+(C5*I3)+(D5*I4)+(E5*I5))*2+D7+D8+D9</f>
        <v>21216.640000000003</v>
      </c>
      <c r="E17" s="21">
        <f>E2*12+((B3*I2)+(C3*I3)+(D3*I4)+(E3*I5))*12+E4*2+((B5*I2)+(C5*I3)+(D5*I4)+(E5*I5))*2+E7+E8+E9</f>
        <v>16652.460000000003</v>
      </c>
      <c r="G17" s="11">
        <v>21</v>
      </c>
      <c r="H17" s="22">
        <v>7033.6</v>
      </c>
      <c r="I17" s="1" t="s">
        <v>18</v>
      </c>
      <c r="J17" s="5"/>
      <c r="K17" s="22">
        <v>15320.76</v>
      </c>
    </row>
    <row r="18" spans="1:11" x14ac:dyDescent="0.2">
      <c r="A18" s="16" t="s">
        <v>28</v>
      </c>
      <c r="B18" s="21">
        <f>B14*12+B15*2</f>
        <v>31444.099120000003</v>
      </c>
      <c r="C18" s="21">
        <f>C14*12+C15*2</f>
        <v>24539.924559999999</v>
      </c>
      <c r="D18" s="21">
        <f>D14*12+D15*2</f>
        <v>17365.00432</v>
      </c>
      <c r="E18" s="21">
        <f>E14*12+E15*2</f>
        <v>13626.741479999999</v>
      </c>
      <c r="G18" s="11">
        <v>20</v>
      </c>
      <c r="H18" s="22">
        <v>6533.52</v>
      </c>
      <c r="I18" s="1" t="s">
        <v>18</v>
      </c>
      <c r="K18" s="22">
        <v>14503.16</v>
      </c>
    </row>
    <row r="19" spans="1:11" x14ac:dyDescent="0.2">
      <c r="G19" s="11">
        <v>19</v>
      </c>
      <c r="H19" s="22">
        <v>6200.04</v>
      </c>
      <c r="I19" s="1" t="s">
        <v>18</v>
      </c>
      <c r="K19" s="22">
        <v>14171.78</v>
      </c>
    </row>
    <row r="20" spans="1:11" x14ac:dyDescent="0.2">
      <c r="B20" s="5"/>
      <c r="G20" s="11">
        <v>18</v>
      </c>
      <c r="H20" s="22">
        <v>5866.28</v>
      </c>
      <c r="I20" s="1" t="s">
        <v>24</v>
      </c>
      <c r="K20" s="22">
        <v>14157.08</v>
      </c>
    </row>
    <row r="21" spans="1:11" x14ac:dyDescent="0.2">
      <c r="B21" s="5"/>
      <c r="G21" s="11">
        <v>17</v>
      </c>
      <c r="H21" s="22">
        <v>5532.52</v>
      </c>
      <c r="I21" s="9" t="s">
        <v>25</v>
      </c>
      <c r="K21" s="22">
        <v>13921.74</v>
      </c>
    </row>
    <row r="22" spans="1:11" x14ac:dyDescent="0.2">
      <c r="G22" s="11">
        <v>16</v>
      </c>
      <c r="H22" s="22">
        <v>5199.74</v>
      </c>
      <c r="I22" s="9" t="s">
        <v>25</v>
      </c>
      <c r="K22" s="22">
        <v>13897.94</v>
      </c>
    </row>
    <row r="23" spans="1:11" x14ac:dyDescent="0.2">
      <c r="G23" s="11">
        <v>15</v>
      </c>
      <c r="H23" s="22">
        <v>4865.5600000000004</v>
      </c>
      <c r="I23" s="9" t="s">
        <v>25</v>
      </c>
      <c r="K23" s="22">
        <v>13799.52</v>
      </c>
    </row>
    <row r="24" spans="1:11" x14ac:dyDescent="0.2">
      <c r="G24" s="11">
        <v>14</v>
      </c>
      <c r="H24" s="22">
        <v>4532.3599999999997</v>
      </c>
      <c r="I24" s="13" t="s">
        <v>23</v>
      </c>
      <c r="K24" s="22">
        <v>13306.58</v>
      </c>
    </row>
    <row r="25" spans="1:11" x14ac:dyDescent="0.2">
      <c r="K25" s="22">
        <v>12883.08</v>
      </c>
    </row>
    <row r="26" spans="1:11" x14ac:dyDescent="0.2">
      <c r="K26" s="22">
        <v>12677.14</v>
      </c>
    </row>
    <row r="27" spans="1:11" x14ac:dyDescent="0.2">
      <c r="H27" s="1"/>
      <c r="K27" s="22">
        <v>12509.98</v>
      </c>
    </row>
    <row r="28" spans="1:11" x14ac:dyDescent="0.2">
      <c r="K28" s="22">
        <v>12491.22</v>
      </c>
    </row>
    <row r="29" spans="1:11" x14ac:dyDescent="0.2">
      <c r="A29" s="15" t="s">
        <v>21</v>
      </c>
      <c r="B29" s="5"/>
      <c r="K29" s="22">
        <v>12470.92</v>
      </c>
    </row>
    <row r="30" spans="1:11" x14ac:dyDescent="0.2">
      <c r="K30" s="22">
        <v>12465.88</v>
      </c>
    </row>
    <row r="31" spans="1:11" x14ac:dyDescent="0.2">
      <c r="K31" s="22">
        <v>12389.02</v>
      </c>
    </row>
    <row r="32" spans="1:11" x14ac:dyDescent="0.2">
      <c r="K32" s="22">
        <v>11872.84</v>
      </c>
    </row>
    <row r="33" spans="11:11" x14ac:dyDescent="0.2">
      <c r="K33" s="22">
        <v>11734.1</v>
      </c>
    </row>
    <row r="34" spans="11:11" x14ac:dyDescent="0.2">
      <c r="K34" s="22">
        <v>11643.8</v>
      </c>
    </row>
    <row r="35" spans="11:11" x14ac:dyDescent="0.2">
      <c r="K35" s="22">
        <v>11384.52</v>
      </c>
    </row>
    <row r="36" spans="11:11" x14ac:dyDescent="0.2">
      <c r="K36" s="22">
        <v>11229.54</v>
      </c>
    </row>
    <row r="37" spans="11:11" x14ac:dyDescent="0.2">
      <c r="K37" s="22">
        <v>11214.56</v>
      </c>
    </row>
    <row r="38" spans="11:11" x14ac:dyDescent="0.2">
      <c r="K38" s="22">
        <v>11125.8</v>
      </c>
    </row>
    <row r="39" spans="11:11" x14ac:dyDescent="0.2">
      <c r="K39" s="22">
        <v>10937.5</v>
      </c>
    </row>
    <row r="40" spans="11:11" x14ac:dyDescent="0.2">
      <c r="K40" s="22">
        <v>10910.76</v>
      </c>
    </row>
    <row r="41" spans="11:11" x14ac:dyDescent="0.2">
      <c r="K41" s="22">
        <v>10591.56</v>
      </c>
    </row>
    <row r="42" spans="11:11" x14ac:dyDescent="0.2">
      <c r="K42" s="22">
        <v>10363.780000000001</v>
      </c>
    </row>
    <row r="43" spans="11:11" x14ac:dyDescent="0.2">
      <c r="K43" s="22">
        <v>10158.540000000001</v>
      </c>
    </row>
    <row r="44" spans="11:11" x14ac:dyDescent="0.2">
      <c r="K44" s="22">
        <v>9520.56</v>
      </c>
    </row>
    <row r="45" spans="11:11" x14ac:dyDescent="0.2">
      <c r="K45" s="22">
        <v>9479.26</v>
      </c>
    </row>
    <row r="46" spans="11:11" x14ac:dyDescent="0.2">
      <c r="K46" s="22">
        <v>9397.7800000000007</v>
      </c>
    </row>
    <row r="47" spans="11:11" x14ac:dyDescent="0.2">
      <c r="K47" s="22">
        <v>9245.18</v>
      </c>
    </row>
    <row r="48" spans="11:11" x14ac:dyDescent="0.2">
      <c r="K48" s="22">
        <v>9154.74</v>
      </c>
    </row>
    <row r="49" spans="11:11" x14ac:dyDescent="0.2">
      <c r="K49" s="22">
        <v>8672.86</v>
      </c>
    </row>
    <row r="50" spans="11:11" x14ac:dyDescent="0.2">
      <c r="K50" s="22">
        <v>8607.34</v>
      </c>
    </row>
    <row r="51" spans="11:11" x14ac:dyDescent="0.2">
      <c r="K51" s="22">
        <v>8524.6</v>
      </c>
    </row>
    <row r="52" spans="11:11" x14ac:dyDescent="0.2">
      <c r="K52" s="22">
        <v>8347.2199999999993</v>
      </c>
    </row>
    <row r="53" spans="11:11" x14ac:dyDescent="0.2">
      <c r="K53" s="22">
        <v>8237.8799999999992</v>
      </c>
    </row>
    <row r="54" spans="11:11" x14ac:dyDescent="0.2">
      <c r="K54" s="22">
        <v>8191.26</v>
      </c>
    </row>
    <row r="55" spans="11:11" x14ac:dyDescent="0.2">
      <c r="K55" s="22">
        <v>8171.94</v>
      </c>
    </row>
    <row r="56" spans="11:11" x14ac:dyDescent="0.2">
      <c r="K56" s="22">
        <v>8123.08</v>
      </c>
    </row>
    <row r="57" spans="11:11" x14ac:dyDescent="0.2">
      <c r="K57" s="22">
        <v>8051.4</v>
      </c>
    </row>
    <row r="58" spans="11:11" x14ac:dyDescent="0.2">
      <c r="K58" s="22">
        <v>8041.74</v>
      </c>
    </row>
    <row r="59" spans="11:11" x14ac:dyDescent="0.2">
      <c r="K59" s="22">
        <v>8013.88</v>
      </c>
    </row>
    <row r="60" spans="11:11" x14ac:dyDescent="0.2">
      <c r="K60" s="22">
        <v>7997.5</v>
      </c>
    </row>
    <row r="61" spans="11:11" x14ac:dyDescent="0.2">
      <c r="K61" s="22">
        <v>7709.38</v>
      </c>
    </row>
    <row r="62" spans="11:11" x14ac:dyDescent="0.2">
      <c r="K62" s="22">
        <v>7493.36</v>
      </c>
    </row>
    <row r="63" spans="11:11" x14ac:dyDescent="0.2">
      <c r="K63" s="22">
        <v>7434.14</v>
      </c>
    </row>
    <row r="64" spans="11:11" x14ac:dyDescent="0.2">
      <c r="K64" s="22">
        <v>7423.36</v>
      </c>
    </row>
    <row r="65" spans="11:11" x14ac:dyDescent="0.2">
      <c r="K65" s="22">
        <v>7240.1</v>
      </c>
    </row>
    <row r="66" spans="11:11" x14ac:dyDescent="0.2">
      <c r="K66" s="22">
        <v>7154.7</v>
      </c>
    </row>
    <row r="67" spans="11:11" x14ac:dyDescent="0.2">
      <c r="K67" s="22">
        <v>7063</v>
      </c>
    </row>
    <row r="68" spans="11:11" x14ac:dyDescent="0.2">
      <c r="K68" s="22">
        <v>6880.02</v>
      </c>
    </row>
    <row r="69" spans="11:11" x14ac:dyDescent="0.2">
      <c r="K69" s="22">
        <v>6855.38</v>
      </c>
    </row>
    <row r="70" spans="11:11" x14ac:dyDescent="0.2">
      <c r="K70" s="22">
        <v>6851.46</v>
      </c>
    </row>
    <row r="71" spans="11:11" x14ac:dyDescent="0.2">
      <c r="K71" s="22">
        <v>6441.4</v>
      </c>
    </row>
    <row r="72" spans="11:11" x14ac:dyDescent="0.2">
      <c r="K72" s="22">
        <v>6332.2</v>
      </c>
    </row>
    <row r="73" spans="11:11" x14ac:dyDescent="0.2">
      <c r="K73" s="22">
        <v>6332.06</v>
      </c>
    </row>
    <row r="74" spans="11:11" x14ac:dyDescent="0.2">
      <c r="K74" s="22">
        <v>6189.82</v>
      </c>
    </row>
    <row r="75" spans="11:11" x14ac:dyDescent="0.2">
      <c r="K75" s="22">
        <v>6122.76</v>
      </c>
    </row>
    <row r="76" spans="11:11" x14ac:dyDescent="0.2">
      <c r="K76" s="22">
        <v>5868.38</v>
      </c>
    </row>
    <row r="77" spans="11:11" x14ac:dyDescent="0.2">
      <c r="K77" s="22">
        <v>5859.84</v>
      </c>
    </row>
    <row r="78" spans="11:11" x14ac:dyDescent="0.2">
      <c r="K78" s="22">
        <v>5854.38</v>
      </c>
    </row>
    <row r="79" spans="11:11" x14ac:dyDescent="0.2">
      <c r="K79" s="22">
        <v>5803.56</v>
      </c>
    </row>
    <row r="80" spans="11:11" x14ac:dyDescent="0.2">
      <c r="K80" s="22">
        <v>5510.68</v>
      </c>
    </row>
    <row r="81" spans="11:11" x14ac:dyDescent="0.2">
      <c r="K81" s="22">
        <v>5473.58</v>
      </c>
    </row>
    <row r="82" spans="11:11" x14ac:dyDescent="0.2">
      <c r="K82" s="22">
        <v>5358.92</v>
      </c>
    </row>
    <row r="83" spans="11:11" x14ac:dyDescent="0.2">
      <c r="K83" s="22">
        <v>5172.16</v>
      </c>
    </row>
    <row r="84" spans="11:11" x14ac:dyDescent="0.2">
      <c r="K84" s="22">
        <v>5073.46</v>
      </c>
    </row>
    <row r="85" spans="11:11" x14ac:dyDescent="0.2">
      <c r="K85" s="22">
        <v>4935.1400000000003</v>
      </c>
    </row>
    <row r="86" spans="11:11" x14ac:dyDescent="0.2">
      <c r="K86" s="22">
        <v>4915.3999999999996</v>
      </c>
    </row>
    <row r="87" spans="11:11" x14ac:dyDescent="0.2">
      <c r="K87" s="22">
        <v>4912.46</v>
      </c>
    </row>
    <row r="88" spans="11:11" x14ac:dyDescent="0.2">
      <c r="K88" s="22">
        <v>4867.1000000000004</v>
      </c>
    </row>
    <row r="89" spans="11:11" x14ac:dyDescent="0.2">
      <c r="K89" s="22">
        <v>4853.9399999999996</v>
      </c>
    </row>
    <row r="90" spans="11:11" x14ac:dyDescent="0.2">
      <c r="K90" s="22">
        <v>4821.88</v>
      </c>
    </row>
    <row r="91" spans="11:11" x14ac:dyDescent="0.2">
      <c r="K91" s="22">
        <v>4819.3599999999997</v>
      </c>
    </row>
    <row r="92" spans="11:11" x14ac:dyDescent="0.2">
      <c r="K92" s="22">
        <v>4754.82</v>
      </c>
    </row>
    <row r="93" spans="11:11" x14ac:dyDescent="0.2">
      <c r="K93" s="22">
        <v>4708.8999999999996</v>
      </c>
    </row>
    <row r="94" spans="11:11" x14ac:dyDescent="0.2">
      <c r="K94" s="22">
        <v>4701.4799999999996</v>
      </c>
    </row>
    <row r="95" spans="11:11" x14ac:dyDescent="0.2">
      <c r="K95" s="22">
        <v>4681.88</v>
      </c>
    </row>
    <row r="96" spans="11:11" x14ac:dyDescent="0.2">
      <c r="K96" s="22">
        <v>4629.1000000000004</v>
      </c>
    </row>
    <row r="97" spans="11:11" x14ac:dyDescent="0.2">
      <c r="K97" s="22">
        <v>4628.12</v>
      </c>
    </row>
    <row r="98" spans="11:11" x14ac:dyDescent="0.2">
      <c r="K98" s="22">
        <v>4425.12</v>
      </c>
    </row>
    <row r="99" spans="11:11" x14ac:dyDescent="0.2">
      <c r="K99" s="22">
        <v>4419.24</v>
      </c>
    </row>
    <row r="100" spans="11:11" x14ac:dyDescent="0.2">
      <c r="K100" s="22">
        <v>4414.8999999999996</v>
      </c>
    </row>
    <row r="101" spans="11:11" x14ac:dyDescent="0.2">
      <c r="K101" s="22">
        <v>4356.8</v>
      </c>
    </row>
    <row r="102" spans="11:11" x14ac:dyDescent="0.2">
      <c r="K102" s="22">
        <v>4346.4399999999996</v>
      </c>
    </row>
    <row r="103" spans="11:11" x14ac:dyDescent="0.2">
      <c r="K103" s="22">
        <v>4152.82</v>
      </c>
    </row>
    <row r="104" spans="11:11" x14ac:dyDescent="0.2">
      <c r="K104" s="22">
        <v>4100.18</v>
      </c>
    </row>
    <row r="105" spans="11:11" x14ac:dyDescent="0.2">
      <c r="K105" s="22">
        <v>3850.28</v>
      </c>
    </row>
    <row r="106" spans="11:11" x14ac:dyDescent="0.2">
      <c r="K106" s="22">
        <v>3839.64</v>
      </c>
    </row>
    <row r="107" spans="11:11" x14ac:dyDescent="0.2">
      <c r="K107" s="22">
        <v>3835.44</v>
      </c>
    </row>
    <row r="108" spans="11:11" x14ac:dyDescent="0.2">
      <c r="K108" s="22">
        <v>3808.84</v>
      </c>
    </row>
    <row r="109" spans="11:11" x14ac:dyDescent="0.2">
      <c r="K109" s="22">
        <v>3746.26</v>
      </c>
    </row>
    <row r="110" spans="11:11" x14ac:dyDescent="0.2">
      <c r="K110" s="22">
        <v>3584</v>
      </c>
    </row>
    <row r="111" spans="11:11" x14ac:dyDescent="0.2">
      <c r="K111" s="22">
        <v>3308.34</v>
      </c>
    </row>
  </sheetData>
  <dataConsolidate/>
  <dataValidations count="6">
    <dataValidation type="list" allowBlank="1" showInputMessage="1" showErrorMessage="1" sqref="E6" xr:uid="{00000000-0002-0000-0300-000000000000}">
      <formula1>"14,15,16,17,18"</formula1>
    </dataValidation>
    <dataValidation type="list" allowBlank="1" showInputMessage="1" showErrorMessage="1" sqref="D6" xr:uid="{00000000-0002-0000-0300-000001000000}">
      <formula1>"15,16,17,18,19,20,21,22"</formula1>
    </dataValidation>
    <dataValidation type="list" allowBlank="1" showInputMessage="1" showErrorMessage="1" sqref="C6" xr:uid="{00000000-0002-0000-0300-000002000000}">
      <formula1>"18,19,20,21,22,23,24,25,26"</formula1>
    </dataValidation>
    <dataValidation type="list" allowBlank="1" showInputMessage="1" showErrorMessage="1" sqref="B6" xr:uid="{00000000-0002-0000-0300-000003000000}">
      <formula1>"22,23,24,25,26,27,28,29,30"</formula1>
    </dataValidation>
    <dataValidation type="list" allowBlank="1" showInputMessage="1" showErrorMessage="1" sqref="I2:I5" xr:uid="{00000000-0002-0000-0300-000004000000}">
      <formula1>"0,1,2,3,4,5,6,7,8,9,10,11,12,13,14,15,16,17"</formula1>
    </dataValidation>
    <dataValidation type="list" allowBlank="1" showInputMessage="1" showErrorMessage="1" sqref="B8:E8" xr:uid="{00000000-0002-0000-0300-000005000000}">
      <formula1>$K$2:$K$111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K111"/>
  <sheetViews>
    <sheetView workbookViewId="0">
      <selection activeCell="B7" sqref="B7"/>
    </sheetView>
  </sheetViews>
  <sheetFormatPr defaultColWidth="11.43359375" defaultRowHeight="15" x14ac:dyDescent="0.2"/>
  <cols>
    <col min="1" max="1" width="33.2265625" style="15" customWidth="1"/>
    <col min="2" max="2" width="15.19921875" style="15" bestFit="1" customWidth="1"/>
    <col min="3" max="5" width="14.125" style="15" bestFit="1" customWidth="1"/>
    <col min="6" max="6" width="4.5703125" style="15" customWidth="1"/>
    <col min="7" max="7" width="9.28125" style="15" customWidth="1"/>
    <col min="8" max="8" width="26.36328125" style="15" bestFit="1" customWidth="1"/>
    <col min="9" max="10" width="11.43359375" style="15"/>
    <col min="11" max="11" width="27.3046875" style="15" customWidth="1"/>
    <col min="12" max="12" width="11.43359375" style="15" customWidth="1"/>
    <col min="13" max="16384" width="11.43359375" style="15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H1" s="1" t="s">
        <v>7</v>
      </c>
      <c r="J1" s="1"/>
      <c r="K1" s="1" t="s">
        <v>26</v>
      </c>
    </row>
    <row r="2" spans="1:11" x14ac:dyDescent="0.2">
      <c r="A2" s="4" t="s">
        <v>0</v>
      </c>
      <c r="B2" s="17">
        <v>1214.3900000000001</v>
      </c>
      <c r="C2" s="17">
        <v>1050.06</v>
      </c>
      <c r="D2" s="17">
        <v>788.42</v>
      </c>
      <c r="E2" s="17">
        <v>656.18</v>
      </c>
      <c r="H2" s="1" t="s">
        <v>11</v>
      </c>
      <c r="I2" s="2">
        <v>0</v>
      </c>
      <c r="J2" s="5"/>
      <c r="K2" s="22">
        <v>31192.28</v>
      </c>
    </row>
    <row r="3" spans="1:11" x14ac:dyDescent="0.2">
      <c r="A3" s="4" t="s">
        <v>5</v>
      </c>
      <c r="B3" s="17">
        <v>46.74</v>
      </c>
      <c r="C3" s="17">
        <v>38.119999999999997</v>
      </c>
      <c r="D3" s="17">
        <v>28.85</v>
      </c>
      <c r="E3" s="17">
        <v>19.64</v>
      </c>
      <c r="H3" s="1" t="s">
        <v>12</v>
      </c>
      <c r="I3" s="2">
        <v>0</v>
      </c>
      <c r="J3" s="5"/>
      <c r="K3" s="22">
        <v>30234.54</v>
      </c>
    </row>
    <row r="4" spans="1:11" x14ac:dyDescent="0.2">
      <c r="A4" s="4" t="s">
        <v>1</v>
      </c>
      <c r="B4" s="17">
        <v>749.38</v>
      </c>
      <c r="C4" s="17">
        <v>765.83</v>
      </c>
      <c r="D4" s="17">
        <v>681.43</v>
      </c>
      <c r="E4" s="17">
        <v>650.20000000000005</v>
      </c>
      <c r="H4" s="1" t="s">
        <v>13</v>
      </c>
      <c r="I4" s="2">
        <v>0</v>
      </c>
      <c r="J4" s="5"/>
      <c r="K4" s="22">
        <v>28319.9</v>
      </c>
    </row>
    <row r="5" spans="1:11" x14ac:dyDescent="0.2">
      <c r="A5" s="4" t="s">
        <v>6</v>
      </c>
      <c r="B5" s="17">
        <v>28.85</v>
      </c>
      <c r="C5" s="17">
        <v>27.79</v>
      </c>
      <c r="D5" s="17">
        <v>24.91</v>
      </c>
      <c r="E5" s="17">
        <v>19.440000000000001</v>
      </c>
      <c r="H5" s="1" t="s">
        <v>23</v>
      </c>
      <c r="I5" s="2">
        <v>0</v>
      </c>
      <c r="J5" s="5"/>
      <c r="K5" s="22">
        <v>26405.82</v>
      </c>
    </row>
    <row r="6" spans="1:11" x14ac:dyDescent="0.2">
      <c r="A6" s="4" t="s">
        <v>19</v>
      </c>
      <c r="B6" s="11">
        <v>24</v>
      </c>
      <c r="C6" s="11">
        <v>24</v>
      </c>
      <c r="D6" s="11">
        <v>16</v>
      </c>
      <c r="E6" s="11">
        <v>14</v>
      </c>
      <c r="J6" s="5"/>
      <c r="K6" s="22">
        <v>25447.66</v>
      </c>
    </row>
    <row r="7" spans="1:11" x14ac:dyDescent="0.2">
      <c r="A7" s="4" t="s">
        <v>3</v>
      </c>
      <c r="B7" s="17">
        <f>IF(B6=30,H8,(IF(B6=29,H9,(IF(B6=28,H10,(IF(B6=27,H11,(IF(B6=26,H12,(IF(B6=25,H13,(IF(B6=24,H14,(IF(B6=23,H15,(IF(B6=22,H16,"Nivel Erróneo")))))))))))))))))</f>
        <v>8936.06</v>
      </c>
      <c r="C7" s="17">
        <f>IF(C6=26,H12,(IF(C6=25,H13,(IF(C6=24,H14,(IF(C6=23,H15,(IF(C6=22,H16,(IF(C6=21,H17,(IF(C6=20,H18,(IF(C6=19,H19,(IF(C6=18,H20,"Nivel Erróneo")))))))))))))))))</f>
        <v>8936.06</v>
      </c>
      <c r="D7" s="17">
        <f>IF(D6=22,H16,(IF(D6=21,H17,(IF(D6=20,H18,(IF(D6=19,H19,(IF(D6=18,H20,(IF(D6=17,H21,(IF(D6=16,H22,(IF(D6=15,H23,"Nivel Erróneo")))))))))))))))</f>
        <v>5364.66</v>
      </c>
      <c r="E7" s="17">
        <f>IF(E6=18,H20,(IF(E6=17,H21,(IF(E6=16,H22,(IF(E6=15,H23,(IF(E6=14,H24,"NivelErróneo")))))))))</f>
        <v>4676.28</v>
      </c>
      <c r="G7" s="1" t="s">
        <v>14</v>
      </c>
      <c r="H7" s="1" t="s">
        <v>15</v>
      </c>
      <c r="I7" s="1"/>
      <c r="J7" s="5"/>
      <c r="K7" s="22">
        <v>24171.14</v>
      </c>
    </row>
    <row r="8" spans="1:11" x14ac:dyDescent="0.2">
      <c r="A8" s="4" t="s">
        <v>2</v>
      </c>
      <c r="B8" s="17">
        <v>3382.82</v>
      </c>
      <c r="C8" s="17">
        <v>9734.9</v>
      </c>
      <c r="D8" s="17">
        <v>3382.82</v>
      </c>
      <c r="E8" s="17">
        <v>3382.82</v>
      </c>
      <c r="G8" s="11">
        <v>30</v>
      </c>
      <c r="H8" s="22">
        <v>14850.78</v>
      </c>
      <c r="I8" s="10" t="s">
        <v>11</v>
      </c>
      <c r="J8" s="5"/>
      <c r="K8" s="22">
        <v>22894.76</v>
      </c>
    </row>
    <row r="9" spans="1:11" x14ac:dyDescent="0.2">
      <c r="A9" s="4" t="s">
        <v>4</v>
      </c>
      <c r="B9" s="17">
        <v>0</v>
      </c>
      <c r="C9" s="17">
        <v>0</v>
      </c>
      <c r="D9" s="17">
        <v>0</v>
      </c>
      <c r="E9" s="17">
        <v>0</v>
      </c>
      <c r="G9" s="11">
        <v>29</v>
      </c>
      <c r="H9" s="22">
        <v>13320.44</v>
      </c>
      <c r="I9" s="10" t="s">
        <v>11</v>
      </c>
      <c r="J9" s="5"/>
      <c r="K9" s="22">
        <v>21299.18</v>
      </c>
    </row>
    <row r="10" spans="1:11" x14ac:dyDescent="0.2">
      <c r="A10" s="4" t="s">
        <v>9</v>
      </c>
      <c r="B10" s="3">
        <v>11.5</v>
      </c>
      <c r="C10" s="3">
        <v>14</v>
      </c>
      <c r="D10" s="3">
        <v>11.5</v>
      </c>
      <c r="E10" s="3">
        <v>11.5</v>
      </c>
      <c r="G10" s="11">
        <v>28</v>
      </c>
      <c r="H10" s="22">
        <v>12760.72</v>
      </c>
      <c r="I10" s="10" t="s">
        <v>11</v>
      </c>
      <c r="J10" s="5"/>
      <c r="K10" s="22">
        <v>19935.86</v>
      </c>
    </row>
    <row r="11" spans="1:11" x14ac:dyDescent="0.2">
      <c r="A11" s="4" t="s">
        <v>20</v>
      </c>
      <c r="B11" s="8">
        <v>4.7</v>
      </c>
      <c r="C11" s="8">
        <v>4.7</v>
      </c>
      <c r="D11" s="8">
        <v>4.7</v>
      </c>
      <c r="E11" s="8">
        <v>4.7</v>
      </c>
      <c r="G11" s="11">
        <v>27</v>
      </c>
      <c r="H11" s="22">
        <v>12200.02</v>
      </c>
      <c r="I11" s="10" t="s">
        <v>11</v>
      </c>
      <c r="J11" s="5"/>
      <c r="K11" s="22">
        <v>19389.16</v>
      </c>
    </row>
    <row r="12" spans="1:11" x14ac:dyDescent="0.2">
      <c r="A12" s="4" t="s">
        <v>22</v>
      </c>
      <c r="B12" s="18">
        <v>49.43</v>
      </c>
      <c r="C12" s="18">
        <v>38.909999999999997</v>
      </c>
      <c r="D12" s="18">
        <v>29.88</v>
      </c>
      <c r="E12" s="18">
        <v>23.64</v>
      </c>
      <c r="G12" s="11">
        <v>26</v>
      </c>
      <c r="H12" s="22">
        <v>10703.56</v>
      </c>
      <c r="I12" s="10" t="s">
        <v>16</v>
      </c>
      <c r="J12" s="5"/>
      <c r="K12" s="22">
        <v>18978.400000000001</v>
      </c>
    </row>
    <row r="13" spans="1:11" x14ac:dyDescent="0.2">
      <c r="B13" s="1"/>
      <c r="G13" s="11">
        <v>25</v>
      </c>
      <c r="H13" s="22">
        <v>9496.34</v>
      </c>
      <c r="I13" s="10" t="s">
        <v>16</v>
      </c>
      <c r="J13" s="5"/>
      <c r="K13" s="22">
        <v>17501.54</v>
      </c>
    </row>
    <row r="14" spans="1:11" x14ac:dyDescent="0.2">
      <c r="A14" s="4" t="s">
        <v>8</v>
      </c>
      <c r="B14" s="19">
        <f>((B2+(B3*I2)+(C3*I3)+(D3*I4)+(E3*I5)+(B7/14)+(B8/14)+(B9/12))*((100-B10-B11)/100))-B12-(((B4+(B5*I2)+(C5*I3)+(D5*I4)+(E5*I5)+(B7/14)+(B8/14))/6)*(B11/100))</f>
        <v>1692.8389299999997</v>
      </c>
      <c r="C14" s="19">
        <f>((C2+(B3*I2)+(C3*I3)+(D3*I4)+(E3*I5)+(C7/14)+(C8/14)+(C9/12))*((100-C10-C11)/100))-C12-(((C4+(B5*I2)+(C5*I3)+(D5*I4)+(E5*I5)+(C7/14)+(C8/14))/6)*(C11/100))</f>
        <v>1882.5922516666662</v>
      </c>
      <c r="D14" s="19">
        <f>((D2+(B3*I2)+(C3*I3)+(D3*I4)+(E3*I5)+(D7/14)+(D8/14)+(D9/12))*((100-D10-D11)/100))-D12-(((D4+(B5*I2)+(C5*I3)+(D5*I4)+(E5*I5)+(D7/14)+(D8/14))/6)*(D11/100))</f>
        <v>1144.1828283333332</v>
      </c>
      <c r="E14" s="19">
        <f>((E2+(B3*I2)+(C3*I3)+(D3*I4)+(E3*I5)+(E7/14)+(E8/14)+(E9/12))*((100-E10-E11)/100))-E12-(((E4+(B5*I2)+(C5*I3)+(D5*I4)+(E5*I5)+(E7/14)+(E8/14))/6)*(E11/100))</f>
        <v>999.03104833333327</v>
      </c>
      <c r="G14" s="11">
        <v>24</v>
      </c>
      <c r="H14" s="22">
        <v>8936.06</v>
      </c>
      <c r="I14" s="10" t="s">
        <v>16</v>
      </c>
      <c r="J14" s="5"/>
      <c r="K14" s="22">
        <v>17063.34</v>
      </c>
    </row>
    <row r="15" spans="1:11" x14ac:dyDescent="0.2">
      <c r="A15" s="4" t="s">
        <v>10</v>
      </c>
      <c r="B15" s="19">
        <f>((B4+(B5*I2)+(C5*I3)+(D5*I4)+(E5*I5)+(B7/14)+(B8/14))*((100-B10)/100))-B12</f>
        <v>1392.5005000000001</v>
      </c>
      <c r="C15" s="19">
        <f>((C4+(B5*I2)+(C5*I3)+(D5*I4)+(E5*I5)+(C7/14)+(C8/14))*((100-C10)/100))-C12</f>
        <v>1766.6341999999997</v>
      </c>
      <c r="D15" s="19">
        <f>((D4+(B5*I2)+(C5*I3)+(D5*I4)+(E5*I5)+(D7/14)+(D8/14))*((100-D10)/100))-D12</f>
        <v>1126.1512499999999</v>
      </c>
      <c r="E15" s="19">
        <f>((E4+(B5*I2)+(C5*I3)+(D5*I4)+(E5*I5)+(E7/14)+(E8/14))*((100-E10)/100))-E12</f>
        <v>1061.2372500000001</v>
      </c>
      <c r="G15" s="11">
        <v>23</v>
      </c>
      <c r="H15" s="22">
        <v>8376.6200000000008</v>
      </c>
      <c r="I15" s="2" t="s">
        <v>12</v>
      </c>
      <c r="J15" s="5"/>
      <c r="K15" s="22">
        <v>15787.38</v>
      </c>
    </row>
    <row r="16" spans="1:11" x14ac:dyDescent="0.2">
      <c r="B16" s="19"/>
      <c r="C16" s="19"/>
      <c r="D16" s="19"/>
      <c r="E16" s="19"/>
      <c r="G16" s="11">
        <v>22</v>
      </c>
      <c r="H16" s="22">
        <v>7815.92</v>
      </c>
      <c r="I16" s="1" t="s">
        <v>18</v>
      </c>
      <c r="J16" s="5"/>
      <c r="K16" s="22">
        <v>15768.48</v>
      </c>
    </row>
    <row r="17" spans="1:11" x14ac:dyDescent="0.2">
      <c r="A17" s="16" t="s">
        <v>27</v>
      </c>
      <c r="B17" s="21">
        <f>B2*12+((B3*I2)+(C3*I3)+(D3*I4)+(E3*I5))*12+B4*2+((B5*I2)+(C5*I3)+(D5*I4)+(E5*I5))*2+B7+B8+B9</f>
        <v>28390.32</v>
      </c>
      <c r="C17" s="21">
        <f>C2*12+((B3*I2)+(C3*I3)+(D3*I4)+(E3*I5))*12+C4*2+((B5*I2)+(C5*I3)+(D5*I4)+(E5*I5))*2+C7+C8+C9</f>
        <v>32803.339999999997</v>
      </c>
      <c r="D17" s="21">
        <f>D2*12+((B3*I2)+(C3*I3)+(D3*I4)+(E3*I5))*12+D4*2+((B5*I2)+(C5*I3)+(D5*I4)+(E5*I5))*2+D7+D8+D9</f>
        <v>19571.38</v>
      </c>
      <c r="E17" s="21">
        <f>E2*12+((B3*I2)+(C3*I3)+(D3*I4)+(E3*I5))*12+E4*2+((B5*I2)+(C5*I3)+(D5*I4)+(E5*I5))*2+E7+E8+E9</f>
        <v>17233.66</v>
      </c>
      <c r="G17" s="11">
        <v>21</v>
      </c>
      <c r="H17" s="22">
        <v>7256.62</v>
      </c>
      <c r="I17" s="1" t="s">
        <v>18</v>
      </c>
      <c r="J17" s="5"/>
      <c r="K17" s="22">
        <v>15665.58</v>
      </c>
    </row>
    <row r="18" spans="1:11" x14ac:dyDescent="0.2">
      <c r="A18" s="16" t="s">
        <v>28</v>
      </c>
      <c r="B18" s="21">
        <f>B14*12+B15*2</f>
        <v>23099.068159999995</v>
      </c>
      <c r="C18" s="21">
        <f>C14*12+C15*2</f>
        <v>26124.375419999997</v>
      </c>
      <c r="D18" s="21">
        <f>D14*12+D15*2</f>
        <v>15982.496439999997</v>
      </c>
      <c r="E18" s="21">
        <f>E14*12+E15*2</f>
        <v>14110.84708</v>
      </c>
      <c r="G18" s="11">
        <v>20</v>
      </c>
      <c r="H18" s="22">
        <v>6740.72</v>
      </c>
      <c r="I18" s="1" t="s">
        <v>18</v>
      </c>
      <c r="K18" s="22">
        <v>14829.5</v>
      </c>
    </row>
    <row r="19" spans="1:11" x14ac:dyDescent="0.2">
      <c r="G19" s="11">
        <v>19</v>
      </c>
      <c r="H19" s="22">
        <v>6396.74</v>
      </c>
      <c r="I19" s="9" t="s">
        <v>13</v>
      </c>
      <c r="K19" s="22">
        <v>14490.7</v>
      </c>
    </row>
    <row r="20" spans="1:11" x14ac:dyDescent="0.2">
      <c r="B20" s="5"/>
      <c r="G20" s="11">
        <v>18</v>
      </c>
      <c r="H20" s="22">
        <v>6052.48</v>
      </c>
      <c r="I20" s="1" t="s">
        <v>29</v>
      </c>
      <c r="K20" s="22">
        <v>14475.72</v>
      </c>
    </row>
    <row r="21" spans="1:11" x14ac:dyDescent="0.2">
      <c r="B21" s="5"/>
      <c r="G21" s="11">
        <v>17</v>
      </c>
      <c r="H21" s="22">
        <v>5708.08</v>
      </c>
      <c r="I21" s="9" t="s">
        <v>25</v>
      </c>
      <c r="K21" s="22">
        <v>14235.06</v>
      </c>
    </row>
    <row r="22" spans="1:11" x14ac:dyDescent="0.2">
      <c r="G22" s="11">
        <v>16</v>
      </c>
      <c r="H22" s="22">
        <v>5364.66</v>
      </c>
      <c r="I22" s="9" t="s">
        <v>25</v>
      </c>
      <c r="K22" s="22">
        <v>14210.7</v>
      </c>
    </row>
    <row r="23" spans="1:11" x14ac:dyDescent="0.2">
      <c r="G23" s="11">
        <v>15</v>
      </c>
      <c r="H23" s="22">
        <v>5019.84</v>
      </c>
      <c r="I23" s="13" t="s">
        <v>23</v>
      </c>
      <c r="K23" s="22">
        <v>14110.04</v>
      </c>
    </row>
    <row r="24" spans="1:11" x14ac:dyDescent="0.2">
      <c r="G24" s="11">
        <v>14</v>
      </c>
      <c r="H24" s="22">
        <v>4676.28</v>
      </c>
      <c r="I24" s="13" t="s">
        <v>23</v>
      </c>
      <c r="K24" s="22">
        <v>13606.04</v>
      </c>
    </row>
    <row r="25" spans="1:11" x14ac:dyDescent="0.2">
      <c r="K25" s="22">
        <v>13172.88</v>
      </c>
    </row>
    <row r="26" spans="1:11" x14ac:dyDescent="0.2">
      <c r="K26" s="22">
        <v>12962.46</v>
      </c>
    </row>
    <row r="27" spans="1:11" x14ac:dyDescent="0.2">
      <c r="H27" s="1"/>
      <c r="K27" s="22">
        <v>12791.52</v>
      </c>
    </row>
    <row r="28" spans="1:11" x14ac:dyDescent="0.2">
      <c r="K28" s="22">
        <v>12772.34</v>
      </c>
    </row>
    <row r="29" spans="1:11" x14ac:dyDescent="0.2">
      <c r="B29" s="5"/>
      <c r="K29" s="22">
        <v>12751.48</v>
      </c>
    </row>
    <row r="30" spans="1:11" x14ac:dyDescent="0.2">
      <c r="K30" s="22">
        <v>12746.44</v>
      </c>
    </row>
    <row r="31" spans="1:11" x14ac:dyDescent="0.2">
      <c r="K31" s="22">
        <v>12667.9</v>
      </c>
    </row>
    <row r="32" spans="1:11" x14ac:dyDescent="0.2">
      <c r="K32" s="22">
        <v>12140.1</v>
      </c>
    </row>
    <row r="33" spans="11:11" x14ac:dyDescent="0.2">
      <c r="K33" s="22">
        <v>11998.14</v>
      </c>
    </row>
    <row r="34" spans="11:11" x14ac:dyDescent="0.2">
      <c r="K34" s="22">
        <v>11905.88</v>
      </c>
    </row>
    <row r="35" spans="11:11" x14ac:dyDescent="0.2">
      <c r="K35" s="22">
        <v>11640.72</v>
      </c>
    </row>
    <row r="36" spans="11:11" x14ac:dyDescent="0.2">
      <c r="K36" s="22">
        <v>11482.38</v>
      </c>
    </row>
    <row r="37" spans="11:11" x14ac:dyDescent="0.2">
      <c r="K37" s="22">
        <v>11466.84</v>
      </c>
    </row>
    <row r="38" spans="11:11" x14ac:dyDescent="0.2">
      <c r="K38" s="22">
        <v>11376.26</v>
      </c>
    </row>
    <row r="39" spans="11:11" x14ac:dyDescent="0.2">
      <c r="K39" s="22">
        <v>11183.76</v>
      </c>
    </row>
    <row r="40" spans="11:11" x14ac:dyDescent="0.2">
      <c r="K40" s="22">
        <v>11156.32</v>
      </c>
    </row>
    <row r="41" spans="11:11" x14ac:dyDescent="0.2">
      <c r="K41" s="22">
        <v>10829.84</v>
      </c>
    </row>
    <row r="42" spans="11:11" x14ac:dyDescent="0.2">
      <c r="K42" s="22">
        <v>10597.02</v>
      </c>
    </row>
    <row r="43" spans="11:11" x14ac:dyDescent="0.2">
      <c r="K43" s="22">
        <v>10387.16</v>
      </c>
    </row>
    <row r="44" spans="11:11" x14ac:dyDescent="0.2">
      <c r="K44" s="22">
        <v>9734.9</v>
      </c>
    </row>
    <row r="45" spans="11:11" x14ac:dyDescent="0.2">
      <c r="K45" s="22">
        <v>9692.6200000000008</v>
      </c>
    </row>
    <row r="46" spans="11:11" x14ac:dyDescent="0.2">
      <c r="K46" s="22">
        <v>9609.32</v>
      </c>
    </row>
    <row r="47" spans="11:11" x14ac:dyDescent="0.2">
      <c r="K47" s="22">
        <v>9453.2199999999993</v>
      </c>
    </row>
    <row r="48" spans="11:11" x14ac:dyDescent="0.2">
      <c r="K48" s="22">
        <v>9360.82</v>
      </c>
    </row>
    <row r="49" spans="11:11" x14ac:dyDescent="0.2">
      <c r="K49" s="22">
        <v>8868.16</v>
      </c>
    </row>
    <row r="50" spans="11:11" x14ac:dyDescent="0.2">
      <c r="K50" s="22">
        <v>8801.1</v>
      </c>
    </row>
    <row r="51" spans="11:11" x14ac:dyDescent="0.2">
      <c r="K51" s="22">
        <v>8716.4</v>
      </c>
    </row>
    <row r="52" spans="11:11" x14ac:dyDescent="0.2">
      <c r="K52" s="22">
        <v>8535.1</v>
      </c>
    </row>
    <row r="53" spans="11:11" x14ac:dyDescent="0.2">
      <c r="K53" s="22">
        <v>8423.24</v>
      </c>
    </row>
    <row r="54" spans="11:11" x14ac:dyDescent="0.2">
      <c r="K54" s="22">
        <v>8375.7800000000007</v>
      </c>
    </row>
    <row r="55" spans="11:11" x14ac:dyDescent="0.2">
      <c r="K55" s="22">
        <v>8355.9</v>
      </c>
    </row>
    <row r="56" spans="11:11" x14ac:dyDescent="0.2">
      <c r="K56" s="22">
        <v>8305.92</v>
      </c>
    </row>
    <row r="57" spans="11:11" x14ac:dyDescent="0.2">
      <c r="K57" s="22">
        <v>8232.7000000000007</v>
      </c>
    </row>
    <row r="58" spans="11:11" x14ac:dyDescent="0.2">
      <c r="K58" s="22">
        <v>8222.76</v>
      </c>
    </row>
    <row r="59" spans="11:11" x14ac:dyDescent="0.2">
      <c r="K59" s="22">
        <v>8194.2000000000007</v>
      </c>
    </row>
    <row r="60" spans="11:11" x14ac:dyDescent="0.2">
      <c r="K60" s="22">
        <v>8177.54</v>
      </c>
    </row>
    <row r="61" spans="11:11" x14ac:dyDescent="0.2">
      <c r="K61" s="22">
        <v>7882.98</v>
      </c>
    </row>
    <row r="62" spans="11:11" x14ac:dyDescent="0.2">
      <c r="K62" s="22">
        <v>7662.06</v>
      </c>
    </row>
    <row r="63" spans="11:11" x14ac:dyDescent="0.2">
      <c r="K63" s="22">
        <v>7601.44</v>
      </c>
    </row>
    <row r="64" spans="11:11" x14ac:dyDescent="0.2">
      <c r="K64" s="22">
        <v>7590.52</v>
      </c>
    </row>
    <row r="65" spans="11:11" x14ac:dyDescent="0.2">
      <c r="K65" s="22">
        <v>7403.06</v>
      </c>
    </row>
    <row r="66" spans="11:11" x14ac:dyDescent="0.2">
      <c r="K66" s="22">
        <v>7315.7</v>
      </c>
    </row>
    <row r="67" spans="11:11" x14ac:dyDescent="0.2">
      <c r="K67" s="22">
        <v>7222.04</v>
      </c>
    </row>
    <row r="68" spans="11:11" x14ac:dyDescent="0.2">
      <c r="K68" s="22">
        <v>7035</v>
      </c>
    </row>
    <row r="69" spans="11:11" x14ac:dyDescent="0.2">
      <c r="K69" s="22">
        <v>7009.66</v>
      </c>
    </row>
    <row r="70" spans="11:11" x14ac:dyDescent="0.2">
      <c r="K70" s="22">
        <v>7005.74</v>
      </c>
    </row>
    <row r="71" spans="11:11" x14ac:dyDescent="0.2">
      <c r="K71" s="22">
        <v>6586.44</v>
      </c>
    </row>
    <row r="72" spans="11:11" x14ac:dyDescent="0.2">
      <c r="K72" s="22">
        <v>6474.72</v>
      </c>
    </row>
    <row r="73" spans="11:11" x14ac:dyDescent="0.2">
      <c r="K73" s="22">
        <v>6474.58</v>
      </c>
    </row>
    <row r="74" spans="11:11" x14ac:dyDescent="0.2">
      <c r="K74" s="22">
        <v>6329.26</v>
      </c>
    </row>
    <row r="75" spans="11:11" x14ac:dyDescent="0.2">
      <c r="K75" s="22">
        <v>6260.52</v>
      </c>
    </row>
    <row r="76" spans="11:11" x14ac:dyDescent="0.2">
      <c r="K76" s="22">
        <v>6000.54</v>
      </c>
    </row>
    <row r="77" spans="11:11" x14ac:dyDescent="0.2">
      <c r="K77" s="22">
        <v>5991.86</v>
      </c>
    </row>
    <row r="78" spans="11:11" x14ac:dyDescent="0.2">
      <c r="K78" s="22">
        <v>5986.26</v>
      </c>
    </row>
    <row r="79" spans="11:11" x14ac:dyDescent="0.2">
      <c r="K79" s="22">
        <v>5934.32</v>
      </c>
    </row>
    <row r="80" spans="11:11" x14ac:dyDescent="0.2">
      <c r="K80" s="22">
        <v>5634.86</v>
      </c>
    </row>
    <row r="81" spans="11:11" x14ac:dyDescent="0.2">
      <c r="K81" s="22">
        <v>5596.78</v>
      </c>
    </row>
    <row r="82" spans="11:11" x14ac:dyDescent="0.2">
      <c r="K82" s="22">
        <v>5479.6</v>
      </c>
    </row>
    <row r="83" spans="11:11" x14ac:dyDescent="0.2">
      <c r="K83" s="22">
        <v>5288.64</v>
      </c>
    </row>
    <row r="84" spans="11:11" x14ac:dyDescent="0.2">
      <c r="K84" s="22">
        <v>5187.7</v>
      </c>
    </row>
    <row r="85" spans="11:11" x14ac:dyDescent="0.2">
      <c r="K85" s="22">
        <v>5046.3</v>
      </c>
    </row>
    <row r="86" spans="11:11" x14ac:dyDescent="0.2">
      <c r="K86" s="22">
        <v>5026</v>
      </c>
    </row>
    <row r="87" spans="11:11" x14ac:dyDescent="0.2">
      <c r="K87" s="22">
        <v>5023.0600000000004</v>
      </c>
    </row>
    <row r="88" spans="11:11" x14ac:dyDescent="0.2">
      <c r="K88" s="22">
        <v>4976.58</v>
      </c>
    </row>
    <row r="89" spans="11:11" x14ac:dyDescent="0.2">
      <c r="K89" s="22">
        <v>4963.28</v>
      </c>
    </row>
    <row r="90" spans="11:11" x14ac:dyDescent="0.2">
      <c r="K90" s="22">
        <v>4930.5200000000004</v>
      </c>
    </row>
    <row r="91" spans="11:11" x14ac:dyDescent="0.2">
      <c r="K91" s="22">
        <v>4928</v>
      </c>
    </row>
    <row r="92" spans="11:11" x14ac:dyDescent="0.2">
      <c r="K92" s="22">
        <v>4861.92</v>
      </c>
    </row>
    <row r="93" spans="11:11" x14ac:dyDescent="0.2">
      <c r="K93" s="22">
        <v>4815.0200000000004</v>
      </c>
    </row>
    <row r="94" spans="11:11" x14ac:dyDescent="0.2">
      <c r="K94" s="22">
        <v>4807.46</v>
      </c>
    </row>
    <row r="95" spans="11:11" x14ac:dyDescent="0.2">
      <c r="K95" s="22">
        <v>4787.3</v>
      </c>
    </row>
    <row r="96" spans="11:11" x14ac:dyDescent="0.2">
      <c r="K96" s="22">
        <v>4733.26</v>
      </c>
    </row>
    <row r="97" spans="11:11" x14ac:dyDescent="0.2">
      <c r="K97" s="22">
        <v>4732.28</v>
      </c>
    </row>
    <row r="98" spans="11:11" x14ac:dyDescent="0.2">
      <c r="K98" s="22">
        <v>4524.8</v>
      </c>
    </row>
    <row r="99" spans="11:11" x14ac:dyDescent="0.2">
      <c r="K99" s="22">
        <v>4518.78</v>
      </c>
    </row>
    <row r="100" spans="11:11" x14ac:dyDescent="0.2">
      <c r="K100" s="22">
        <v>4514.4399999999996</v>
      </c>
    </row>
    <row r="101" spans="11:11" x14ac:dyDescent="0.2">
      <c r="K101" s="22">
        <v>4454.9399999999996</v>
      </c>
    </row>
    <row r="102" spans="11:11" x14ac:dyDescent="0.2">
      <c r="K102" s="22">
        <v>4444.3</v>
      </c>
    </row>
    <row r="103" spans="11:11" x14ac:dyDescent="0.2">
      <c r="K103" s="22">
        <v>4246.34</v>
      </c>
    </row>
    <row r="104" spans="11:11" x14ac:dyDescent="0.2">
      <c r="K104" s="22">
        <v>4192.58</v>
      </c>
    </row>
    <row r="105" spans="11:11" x14ac:dyDescent="0.2">
      <c r="K105" s="22">
        <v>3937.08</v>
      </c>
    </row>
    <row r="106" spans="11:11" x14ac:dyDescent="0.2">
      <c r="K106" s="22">
        <v>3926.16</v>
      </c>
    </row>
    <row r="107" spans="11:11" x14ac:dyDescent="0.2">
      <c r="K107" s="22">
        <v>3921.82</v>
      </c>
    </row>
    <row r="108" spans="11:11" x14ac:dyDescent="0.2">
      <c r="K108" s="22">
        <v>3894.66</v>
      </c>
    </row>
    <row r="109" spans="11:11" x14ac:dyDescent="0.2">
      <c r="K109" s="22">
        <v>3830.68</v>
      </c>
    </row>
    <row r="110" spans="11:11" x14ac:dyDescent="0.2">
      <c r="K110" s="22">
        <v>3664.78</v>
      </c>
    </row>
    <row r="111" spans="11:11" x14ac:dyDescent="0.2">
      <c r="K111" s="22">
        <v>3382.82</v>
      </c>
    </row>
  </sheetData>
  <dataConsolidate/>
  <dataValidations count="6">
    <dataValidation type="list" allowBlank="1" showInputMessage="1" showErrorMessage="1" sqref="I2:I5" xr:uid="{00000000-0002-0000-0400-000000000000}">
      <formula1>"0,1,2,3,4,5,6,7,8,9,10,11,12,13,14,15,16,17"</formula1>
    </dataValidation>
    <dataValidation type="list" allowBlank="1" showInputMessage="1" showErrorMessage="1" sqref="B6" xr:uid="{00000000-0002-0000-0400-000001000000}">
      <formula1>"24,25,26,27,28,29,30"</formula1>
    </dataValidation>
    <dataValidation type="list" allowBlank="1" showInputMessage="1" showErrorMessage="1" sqref="C6" xr:uid="{00000000-0002-0000-0400-000002000000}">
      <formula1>"20,21,22,23,24,25,26"</formula1>
    </dataValidation>
    <dataValidation type="list" allowBlank="1" showInputMessage="1" showErrorMessage="1" sqref="D6" xr:uid="{00000000-0002-0000-0400-000003000000}">
      <formula1>"16,17,18,19,20,21,22"</formula1>
    </dataValidation>
    <dataValidation type="list" allowBlank="1" showInputMessage="1" showErrorMessage="1" sqref="E6" xr:uid="{00000000-0002-0000-0400-000004000000}">
      <formula1>"14,15,16,17,18"</formula1>
    </dataValidation>
    <dataValidation type="list" allowBlank="1" showInputMessage="1" showErrorMessage="1" sqref="B8:E8" xr:uid="{00000000-0002-0000-0400-000005000000}">
      <formula1>$K$2:$K$111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A1:K111"/>
  <sheetViews>
    <sheetView tabSelected="1" topLeftCell="B1" workbookViewId="0">
      <selection activeCell="B11" sqref="B11"/>
    </sheetView>
  </sheetViews>
  <sheetFormatPr defaultColWidth="11.43359375" defaultRowHeight="15" x14ac:dyDescent="0.2"/>
  <cols>
    <col min="1" max="1" width="33.2265625" style="15" customWidth="1"/>
    <col min="2" max="2" width="15.19921875" style="15" bestFit="1" customWidth="1"/>
    <col min="3" max="5" width="14.125" style="15" bestFit="1" customWidth="1"/>
    <col min="6" max="6" width="4.5703125" style="15" customWidth="1"/>
    <col min="7" max="7" width="9.28125" style="15" customWidth="1"/>
    <col min="8" max="8" width="26.36328125" style="15" bestFit="1" customWidth="1"/>
    <col min="9" max="10" width="11.43359375" style="15"/>
    <col min="11" max="11" width="27.3046875" style="15" customWidth="1"/>
    <col min="12" max="12" width="11.43359375" style="15" customWidth="1"/>
    <col min="13" max="16384" width="11.43359375" style="15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H1" s="1" t="s">
        <v>7</v>
      </c>
      <c r="J1" s="1"/>
      <c r="K1" s="1" t="s">
        <v>26</v>
      </c>
    </row>
    <row r="2" spans="1:11" x14ac:dyDescent="0.2">
      <c r="A2" s="4" t="s">
        <v>0</v>
      </c>
      <c r="B2" s="23">
        <v>1238.68</v>
      </c>
      <c r="C2" s="23">
        <v>1071.06</v>
      </c>
      <c r="D2" s="23">
        <v>804.19</v>
      </c>
      <c r="E2" s="23">
        <v>669.3</v>
      </c>
      <c r="H2" s="1" t="s">
        <v>11</v>
      </c>
      <c r="I2" s="26">
        <v>0</v>
      </c>
      <c r="J2" s="5"/>
      <c r="K2" s="22">
        <v>32102.42</v>
      </c>
    </row>
    <row r="3" spans="1:11" x14ac:dyDescent="0.2">
      <c r="A3" s="4" t="s">
        <v>5</v>
      </c>
      <c r="B3" s="23">
        <v>47.67</v>
      </c>
      <c r="C3" s="23">
        <v>38.880000000000003</v>
      </c>
      <c r="D3" s="23">
        <v>29.43</v>
      </c>
      <c r="E3" s="23">
        <v>20.03</v>
      </c>
      <c r="H3" s="1" t="s">
        <v>12</v>
      </c>
      <c r="I3" s="26">
        <v>0</v>
      </c>
      <c r="J3" s="5"/>
      <c r="K3" s="22">
        <v>31116.82</v>
      </c>
    </row>
    <row r="4" spans="1:11" x14ac:dyDescent="0.2">
      <c r="A4" s="4" t="s">
        <v>1</v>
      </c>
      <c r="B4" s="23">
        <v>764.37</v>
      </c>
      <c r="C4" s="23">
        <v>781.15</v>
      </c>
      <c r="D4" s="23">
        <v>695.06</v>
      </c>
      <c r="E4" s="23">
        <v>663.2</v>
      </c>
      <c r="H4" s="1" t="s">
        <v>13</v>
      </c>
      <c r="I4" s="26">
        <v>0</v>
      </c>
      <c r="J4" s="5"/>
      <c r="K4" s="22">
        <v>29146.32</v>
      </c>
    </row>
    <row r="5" spans="1:11" x14ac:dyDescent="0.2">
      <c r="A5" s="4" t="s">
        <v>6</v>
      </c>
      <c r="B5" s="23">
        <v>29.43</v>
      </c>
      <c r="C5" s="23">
        <v>28.35</v>
      </c>
      <c r="D5" s="23">
        <v>25.41</v>
      </c>
      <c r="E5" s="23">
        <v>19.829999999999998</v>
      </c>
      <c r="H5" s="1" t="s">
        <v>23</v>
      </c>
      <c r="I5" s="26">
        <v>0</v>
      </c>
      <c r="J5" s="5"/>
      <c r="K5" s="22">
        <v>27176.38</v>
      </c>
    </row>
    <row r="6" spans="1:11" x14ac:dyDescent="0.2">
      <c r="A6" s="4" t="s">
        <v>19</v>
      </c>
      <c r="B6" s="26">
        <v>24</v>
      </c>
      <c r="C6" s="26">
        <v>25</v>
      </c>
      <c r="D6" s="26">
        <v>15</v>
      </c>
      <c r="E6" s="26">
        <v>14</v>
      </c>
      <c r="J6" s="5"/>
      <c r="K6" s="22">
        <v>26190.22</v>
      </c>
    </row>
    <row r="7" spans="1:11" x14ac:dyDescent="0.2">
      <c r="A7" s="4" t="s">
        <v>3</v>
      </c>
      <c r="B7" s="23">
        <f>IF(B6=30,H8,(IF(B6=29,H9,(IF(B6=28,H10,(IF(B6=27,H11,(IF(B6=26,H12,(IF(B6=25,H13,(IF(B6=24,H14,(IF(B6=23,H15,(IF(B6=22,H16,"Nivel Erróneo")))))))))))))))))</f>
        <v>9114.84</v>
      </c>
      <c r="C7" s="23">
        <f>IF(C6=26,H12,(IF(C6=25,H13,(IF(C6=24,H14,(IF(C6=23,H15,(IF(C6=22,H16,(IF(C6=21,H17,(IF(C6=20,H18,(IF(C6=19,H19,(IF(C6=18,H20,"Nivel Erróneo")))))))))))))))))</f>
        <v>9686.32</v>
      </c>
      <c r="D7" s="23">
        <f>IF(D6=22,H16,(IF(D6=21,H17,(IF(D6=20,H18,(IF(D6=19,H19,(IF(D6=18,H20,(IF(D6=17,H21,(IF(D6=16,H22,(IF(D6=15,H23,"Nivel Erróneo")))))))))))))))</f>
        <v>5120.22</v>
      </c>
      <c r="E7" s="23">
        <f>IF(E6=18,H20,(IF(E6=17,H21,(IF(E6=16,H22,(IF(E6=15,H23,(IF(E6=14,H24,"NivelErróneo")))))))))</f>
        <v>4769.8</v>
      </c>
      <c r="G7" s="1" t="s">
        <v>14</v>
      </c>
      <c r="H7" s="1" t="s">
        <v>15</v>
      </c>
      <c r="I7" s="1"/>
      <c r="J7" s="5"/>
      <c r="K7" s="22">
        <v>24876.46</v>
      </c>
    </row>
    <row r="8" spans="1:11" x14ac:dyDescent="0.2">
      <c r="A8" s="4" t="s">
        <v>2</v>
      </c>
      <c r="B8" s="27">
        <v>3382.82</v>
      </c>
      <c r="C8" s="27">
        <v>9734.9</v>
      </c>
      <c r="D8" s="27">
        <v>4574.08</v>
      </c>
      <c r="E8" s="27">
        <v>3382.82</v>
      </c>
      <c r="G8" s="11">
        <v>30</v>
      </c>
      <c r="H8" s="22">
        <v>15147.86</v>
      </c>
      <c r="I8" s="10" t="s">
        <v>11</v>
      </c>
      <c r="J8" s="5"/>
      <c r="K8" s="22">
        <v>23562.84</v>
      </c>
    </row>
    <row r="9" spans="1:11" x14ac:dyDescent="0.2">
      <c r="A9" s="4" t="s">
        <v>4</v>
      </c>
      <c r="B9" s="23">
        <v>0</v>
      </c>
      <c r="C9" s="23">
        <v>4524</v>
      </c>
      <c r="D9" s="23">
        <v>0</v>
      </c>
      <c r="E9" s="23">
        <v>0</v>
      </c>
      <c r="G9" s="11">
        <f>G8-1</f>
        <v>29</v>
      </c>
      <c r="H9" s="22">
        <v>13586.86</v>
      </c>
      <c r="I9" s="10" t="s">
        <v>11</v>
      </c>
      <c r="J9" s="5"/>
      <c r="K9" s="22">
        <v>21920.639999999999</v>
      </c>
    </row>
    <row r="10" spans="1:11" x14ac:dyDescent="0.2">
      <c r="A10" s="4" t="s">
        <v>9</v>
      </c>
      <c r="B10" s="24">
        <v>11.5</v>
      </c>
      <c r="C10" s="24">
        <v>11.5</v>
      </c>
      <c r="D10" s="24">
        <v>11.5</v>
      </c>
      <c r="E10" s="24">
        <v>11.5</v>
      </c>
      <c r="G10" s="11">
        <f t="shared" ref="G10:G37" si="0">G9-1</f>
        <v>28</v>
      </c>
      <c r="H10" s="22">
        <v>13015.94</v>
      </c>
      <c r="I10" s="10" t="s">
        <v>11</v>
      </c>
      <c r="J10" s="5"/>
      <c r="K10" s="22">
        <v>20517.7</v>
      </c>
    </row>
    <row r="11" spans="1:11" x14ac:dyDescent="0.2">
      <c r="A11" s="4" t="s">
        <v>20</v>
      </c>
      <c r="B11" s="24">
        <v>4.4414999999999996</v>
      </c>
      <c r="C11" s="24">
        <f>$B$11</f>
        <v>4.4414999999999996</v>
      </c>
      <c r="D11" s="24">
        <f t="shared" ref="D11:E11" si="1">$B$11</f>
        <v>4.4414999999999996</v>
      </c>
      <c r="E11" s="24">
        <f t="shared" si="1"/>
        <v>4.4414999999999996</v>
      </c>
      <c r="G11" s="11">
        <f t="shared" si="0"/>
        <v>27</v>
      </c>
      <c r="H11" s="22">
        <v>12444.04</v>
      </c>
      <c r="I11" s="10" t="s">
        <v>11</v>
      </c>
      <c r="J11" s="5"/>
      <c r="K11" s="22">
        <v>19954.900000000001</v>
      </c>
    </row>
    <row r="12" spans="1:11" x14ac:dyDescent="0.2">
      <c r="A12" s="4" t="s">
        <v>22</v>
      </c>
      <c r="B12" s="25">
        <v>49.43</v>
      </c>
      <c r="C12" s="25">
        <v>38.909999999999997</v>
      </c>
      <c r="D12" s="25">
        <v>29.88</v>
      </c>
      <c r="E12" s="25">
        <v>23.64</v>
      </c>
      <c r="G12" s="11">
        <f t="shared" si="0"/>
        <v>26</v>
      </c>
      <c r="H12" s="22">
        <v>10917.62</v>
      </c>
      <c r="I12" s="10" t="s">
        <v>16</v>
      </c>
      <c r="J12" s="5"/>
      <c r="K12" s="22">
        <v>19532.240000000002</v>
      </c>
    </row>
    <row r="13" spans="1:11" x14ac:dyDescent="0.2">
      <c r="B13" s="1"/>
      <c r="G13" s="11">
        <f t="shared" si="0"/>
        <v>25</v>
      </c>
      <c r="H13" s="22">
        <v>9686.32</v>
      </c>
      <c r="I13" s="10" t="s">
        <v>16</v>
      </c>
      <c r="J13" s="5"/>
      <c r="K13" s="22">
        <v>18012.259999999998</v>
      </c>
    </row>
    <row r="14" spans="1:11" x14ac:dyDescent="0.2">
      <c r="A14" s="4" t="s">
        <v>8</v>
      </c>
      <c r="B14" s="19">
        <f>((B2+(B3*I2)+(C3*I3)+(D3*I4)+(E3*I5)+(B7/14)+(B8/14)+(B9/12))*((100-B10-B11)/100))-B12-(((B4+(B5*I2)+(C5*I3)+(D5*I4)+(E5*I5)+(B7/14)+(B8/14))/6)*(B11/100))</f>
        <v>1729.9012648</v>
      </c>
      <c r="C14" s="19">
        <f>((C2+(B3*I2)+(C3*I3)+(D3*I4)+(E3*I5)+(C7/14)+(C8/14)+(C9/12))*((100-C10-C11)/100))-C12-(((C4+(B5*I2)+(C5*I3)+(D5*I4)+(E5*I5)+(C7/14)+(C8/14))/6)*(C11/100))</f>
        <v>2328.3408116999999</v>
      </c>
      <c r="D14" s="19">
        <f>((D2+(B3*I2)+(C3*I3)+(D3*I4)+(E3*I5)+(D7/14)+(D8/14)+(D9/12))*((100-D10-D11)/100))-D12-(((D4+(B5*I2)+(C5*I3)+(D5*I4)+(E5*I5)+(D7/14)+(D8/14))/6)*(D11/100))</f>
        <v>1217.9020916249997</v>
      </c>
      <c r="E14" s="19">
        <f>((E2+(B3*I2)+(C3*I3)+(D3*I4)+(E3*I5)+(E7/14)+(E8/14)+(E9/12))*((100-E10-E11)/100))-E12-(((E4+(B5*I2)+(C5*I3)+(D5*I4)+(E5*I5)+(E7/14)+(E8/14))/6)*(E11/100))</f>
        <v>1019.2413677249999</v>
      </c>
      <c r="G14" s="11">
        <f t="shared" si="0"/>
        <v>24</v>
      </c>
      <c r="H14" s="22">
        <v>9114.84</v>
      </c>
      <c r="I14" s="10" t="s">
        <v>16</v>
      </c>
      <c r="J14" s="5"/>
      <c r="K14" s="22">
        <v>17561.32</v>
      </c>
    </row>
    <row r="15" spans="1:11" x14ac:dyDescent="0.2">
      <c r="A15" s="4" t="s">
        <v>10</v>
      </c>
      <c r="B15" s="19">
        <f>((B4+(B5*I2)+(C5*I3)+(D5*I4)+(E5*I5)+(B7/14)+(B8/14))*((100-B10)/100))-B12</f>
        <v>1417.0681000000002</v>
      </c>
      <c r="C15" s="19">
        <f>((C4+(B5*I2)+(C5*I3)+(D5*I4)+(E5*I5)+(C7/14)+(C8/14))*((100-C10)/100))-C12</f>
        <v>1880.1063000000001</v>
      </c>
      <c r="D15" s="19">
        <f>((D4+(B5*I2)+(C5*I3)+(D5*I4)+(E5*I5)+(D7/14)+(D8/14))*((100-D10)/100))-D12</f>
        <v>1198.0663499999998</v>
      </c>
      <c r="E15" s="19">
        <f>((E4+(B5*I2)+(C5*I3)+(D5*I4)+(E5*I5)+(E7/14)+(E8/14))*((100-E10)/100))-E12</f>
        <v>1078.6540500000001</v>
      </c>
      <c r="G15" s="11">
        <f t="shared" si="0"/>
        <v>23</v>
      </c>
      <c r="H15" s="22">
        <v>8544.2000000000007</v>
      </c>
      <c r="I15" s="2" t="s">
        <v>12</v>
      </c>
      <c r="J15" s="5"/>
      <c r="K15" s="22">
        <v>16248.12</v>
      </c>
    </row>
    <row r="16" spans="1:11" x14ac:dyDescent="0.2">
      <c r="B16" s="19"/>
      <c r="C16" s="19"/>
      <c r="D16" s="19"/>
      <c r="E16" s="19"/>
      <c r="G16" s="11">
        <f t="shared" si="0"/>
        <v>22</v>
      </c>
      <c r="H16" s="22">
        <v>7972.3</v>
      </c>
      <c r="I16" s="1" t="s">
        <v>18</v>
      </c>
      <c r="J16" s="5"/>
      <c r="K16" s="22">
        <v>16228.66</v>
      </c>
    </row>
    <row r="17" spans="1:11" x14ac:dyDescent="0.2">
      <c r="A17" s="16" t="s">
        <v>27</v>
      </c>
      <c r="B17" s="21">
        <f>B2*12+((B3*I2)+(C3*I3)+(D3*I4)+(E3*I5))*12+B4*2+((B5*I2)+(C5*I3)+(D5*I4)+(E5*I5))*2+B7+B8+B9</f>
        <v>28890.560000000001</v>
      </c>
      <c r="C17" s="21">
        <f>C2*12+((B3*I2)+(C3*I3)+(D3*I4)+(E3*I5))*12+C4*2+((B5*I2)+(C5*I3)+(D5*I4)+(E5*I5))*2+C7+C8+C9</f>
        <v>38360.239999999998</v>
      </c>
      <c r="D17" s="21">
        <f>D2*12+((B3*I2)+(C3*I3)+(D3*I4)+(E3*I5))*12+D4*2+((B5*I2)+(C5*I3)+(D5*I4)+(E5*I5))*2+D7+D8+D9</f>
        <v>20734.700000000004</v>
      </c>
      <c r="E17" s="21">
        <f>E2*12+((B3*I2)+(C3*I3)+(D3*I4)+(E3*I5))*12+E4*2+((B5*I2)+(C5*I3)+(D5*I4)+(E5*I5))*2+E7+E8+E9</f>
        <v>17510.62</v>
      </c>
      <c r="G17" s="11">
        <f t="shared" si="0"/>
        <v>21</v>
      </c>
      <c r="H17" s="22">
        <v>7401.8</v>
      </c>
      <c r="I17" s="1" t="s">
        <v>18</v>
      </c>
      <c r="J17" s="5"/>
      <c r="K17" s="22">
        <v>16122.68</v>
      </c>
    </row>
    <row r="18" spans="1:11" x14ac:dyDescent="0.2">
      <c r="A18" s="16" t="s">
        <v>28</v>
      </c>
      <c r="B18" s="21">
        <f>B14*12+B15*2</f>
        <v>23592.951377600002</v>
      </c>
      <c r="C18" s="21">
        <f>C14*12+C15*2</f>
        <v>31700.302340399998</v>
      </c>
      <c r="D18" s="21">
        <f>D14*12+D15*2</f>
        <v>17010.957799499996</v>
      </c>
      <c r="E18" s="21">
        <f>E14*12+E15*2</f>
        <v>14388.2045127</v>
      </c>
      <c r="G18" s="11">
        <f t="shared" si="0"/>
        <v>20</v>
      </c>
      <c r="H18" s="22">
        <v>6875.54</v>
      </c>
      <c r="I18" s="1" t="s">
        <v>18</v>
      </c>
      <c r="K18" s="22">
        <v>15262.24</v>
      </c>
    </row>
    <row r="19" spans="1:11" x14ac:dyDescent="0.2">
      <c r="G19" s="11">
        <f t="shared" si="0"/>
        <v>19</v>
      </c>
      <c r="H19" s="22">
        <v>6524.7</v>
      </c>
      <c r="I19" s="9" t="s">
        <v>13</v>
      </c>
      <c r="K19" s="22">
        <v>14913.64</v>
      </c>
    </row>
    <row r="20" spans="1:11" x14ac:dyDescent="0.2">
      <c r="B20" s="5"/>
      <c r="G20" s="11">
        <f t="shared" si="0"/>
        <v>18</v>
      </c>
      <c r="H20" s="22">
        <v>6173.58</v>
      </c>
      <c r="I20" s="1" t="s">
        <v>29</v>
      </c>
      <c r="K20" s="22">
        <v>14898.24</v>
      </c>
    </row>
    <row r="21" spans="1:11" x14ac:dyDescent="0.2">
      <c r="B21" s="5"/>
      <c r="G21" s="11">
        <f t="shared" si="0"/>
        <v>17</v>
      </c>
      <c r="H21" s="22">
        <v>5822.18</v>
      </c>
      <c r="I21" s="9" t="s">
        <v>25</v>
      </c>
      <c r="K21" s="22">
        <v>14650.44</v>
      </c>
    </row>
    <row r="22" spans="1:11" x14ac:dyDescent="0.2">
      <c r="G22" s="11">
        <f t="shared" si="0"/>
        <v>16</v>
      </c>
      <c r="H22" s="22">
        <v>5471.9</v>
      </c>
      <c r="I22" s="9" t="s">
        <v>25</v>
      </c>
      <c r="K22" s="22">
        <v>14625.38</v>
      </c>
    </row>
    <row r="23" spans="1:11" x14ac:dyDescent="0.2">
      <c r="G23" s="11">
        <f t="shared" si="0"/>
        <v>15</v>
      </c>
      <c r="H23" s="22">
        <v>5120.22</v>
      </c>
      <c r="I23" s="9" t="s">
        <v>25</v>
      </c>
      <c r="K23" s="22">
        <v>14521.78</v>
      </c>
    </row>
    <row r="24" spans="1:11" x14ac:dyDescent="0.2">
      <c r="G24" s="11">
        <f t="shared" si="0"/>
        <v>14</v>
      </c>
      <c r="H24" s="22">
        <v>4769.8</v>
      </c>
      <c r="I24" s="13" t="s">
        <v>23</v>
      </c>
      <c r="K24" s="22">
        <v>14003.08</v>
      </c>
    </row>
    <row r="25" spans="1:11" x14ac:dyDescent="0.2">
      <c r="G25" s="11">
        <f t="shared" si="0"/>
        <v>13</v>
      </c>
      <c r="H25" s="22">
        <v>4418.26</v>
      </c>
      <c r="K25" s="22">
        <v>13557.32</v>
      </c>
    </row>
    <row r="26" spans="1:11" x14ac:dyDescent="0.2">
      <c r="G26" s="11">
        <f t="shared" si="0"/>
        <v>12</v>
      </c>
      <c r="H26" s="22">
        <v>4067</v>
      </c>
      <c r="K26" s="22">
        <v>13340.6</v>
      </c>
    </row>
    <row r="27" spans="1:11" x14ac:dyDescent="0.2">
      <c r="G27" s="11">
        <f t="shared" si="0"/>
        <v>11</v>
      </c>
      <c r="H27" s="22">
        <v>3715.6</v>
      </c>
      <c r="K27" s="22">
        <v>13164.76</v>
      </c>
    </row>
    <row r="28" spans="1:11" x14ac:dyDescent="0.2">
      <c r="G28" s="11">
        <f t="shared" si="0"/>
        <v>10</v>
      </c>
      <c r="H28" s="22">
        <v>3365.04</v>
      </c>
      <c r="K28" s="22">
        <v>13145.02</v>
      </c>
    </row>
    <row r="29" spans="1:11" x14ac:dyDescent="0.2">
      <c r="B29" s="5"/>
      <c r="G29" s="11">
        <f t="shared" si="0"/>
        <v>9</v>
      </c>
      <c r="H29" s="22">
        <v>3189.9</v>
      </c>
      <c r="K29" s="22">
        <v>13123.6</v>
      </c>
    </row>
    <row r="30" spans="1:11" x14ac:dyDescent="0.2">
      <c r="G30" s="11">
        <f t="shared" si="0"/>
        <v>8</v>
      </c>
      <c r="H30" s="22">
        <v>3013.78</v>
      </c>
      <c r="K30" s="22">
        <v>13118.28</v>
      </c>
    </row>
    <row r="31" spans="1:11" x14ac:dyDescent="0.2">
      <c r="G31" s="11">
        <f t="shared" si="0"/>
        <v>7</v>
      </c>
      <c r="H31" s="22">
        <v>2838.5</v>
      </c>
      <c r="K31" s="22">
        <v>13037.5</v>
      </c>
    </row>
    <row r="32" spans="1:11" x14ac:dyDescent="0.2">
      <c r="G32" s="11">
        <f t="shared" si="0"/>
        <v>6</v>
      </c>
      <c r="H32" s="22">
        <v>2662.8</v>
      </c>
      <c r="K32" s="22">
        <v>12494.3</v>
      </c>
    </row>
    <row r="33" spans="7:11" x14ac:dyDescent="0.2">
      <c r="G33" s="11">
        <f t="shared" si="0"/>
        <v>5</v>
      </c>
      <c r="H33" s="22">
        <v>2487.2399999999998</v>
      </c>
      <c r="K33" s="22">
        <v>12348.14</v>
      </c>
    </row>
    <row r="34" spans="7:11" x14ac:dyDescent="0.2">
      <c r="G34" s="11">
        <f t="shared" si="0"/>
        <v>4</v>
      </c>
      <c r="H34" s="22">
        <v>2224.1799999999998</v>
      </c>
      <c r="K34" s="22">
        <v>12253.22</v>
      </c>
    </row>
    <row r="35" spans="7:11" x14ac:dyDescent="0.2">
      <c r="G35" s="11">
        <f t="shared" si="0"/>
        <v>3</v>
      </c>
      <c r="H35" s="22">
        <v>1961.4</v>
      </c>
      <c r="K35" s="22">
        <v>11980.36</v>
      </c>
    </row>
    <row r="36" spans="7:11" x14ac:dyDescent="0.2">
      <c r="G36" s="11">
        <f t="shared" si="0"/>
        <v>2</v>
      </c>
      <c r="H36" s="22">
        <v>1698.2</v>
      </c>
      <c r="K36" s="22">
        <v>11817.4</v>
      </c>
    </row>
    <row r="37" spans="7:11" x14ac:dyDescent="0.2">
      <c r="G37" s="11">
        <f t="shared" si="0"/>
        <v>1</v>
      </c>
      <c r="H37" s="22">
        <v>1435.14</v>
      </c>
      <c r="K37" s="22">
        <v>11801.44</v>
      </c>
    </row>
    <row r="38" spans="7:11" x14ac:dyDescent="0.2">
      <c r="K38" s="22">
        <v>11708.2</v>
      </c>
    </row>
    <row r="39" spans="7:11" x14ac:dyDescent="0.2">
      <c r="K39" s="22">
        <v>11510.1</v>
      </c>
    </row>
    <row r="40" spans="7:11" x14ac:dyDescent="0.2">
      <c r="K40" s="22">
        <v>11481.82</v>
      </c>
    </row>
    <row r="41" spans="7:11" x14ac:dyDescent="0.2">
      <c r="K41" s="22">
        <v>11145.82</v>
      </c>
    </row>
    <row r="42" spans="7:11" x14ac:dyDescent="0.2">
      <c r="K42" s="22">
        <v>10906.14</v>
      </c>
    </row>
    <row r="43" spans="7:11" x14ac:dyDescent="0.2">
      <c r="K43" s="22">
        <v>10690.26</v>
      </c>
    </row>
    <row r="44" spans="7:11" x14ac:dyDescent="0.2">
      <c r="K44" s="22">
        <v>10018.959999999999</v>
      </c>
    </row>
    <row r="45" spans="7:11" x14ac:dyDescent="0.2">
      <c r="K45" s="22">
        <v>9975.42</v>
      </c>
    </row>
    <row r="46" spans="7:11" x14ac:dyDescent="0.2">
      <c r="K46" s="22">
        <v>9889.74</v>
      </c>
    </row>
    <row r="47" spans="7:11" x14ac:dyDescent="0.2">
      <c r="K47" s="22">
        <v>9729.16</v>
      </c>
    </row>
    <row r="48" spans="7:11" x14ac:dyDescent="0.2">
      <c r="K48" s="22">
        <v>9633.9599999999991</v>
      </c>
    </row>
    <row r="49" spans="11:11" x14ac:dyDescent="0.2">
      <c r="K49" s="22">
        <v>9126.8799999999992</v>
      </c>
    </row>
    <row r="50" spans="11:11" x14ac:dyDescent="0.2">
      <c r="K50" s="22">
        <v>9058</v>
      </c>
    </row>
    <row r="51" spans="11:11" x14ac:dyDescent="0.2">
      <c r="K51" s="22">
        <v>8970.64</v>
      </c>
    </row>
    <row r="52" spans="11:11" x14ac:dyDescent="0.2">
      <c r="K52" s="22">
        <v>8784.16</v>
      </c>
    </row>
    <row r="53" spans="11:11" x14ac:dyDescent="0.2">
      <c r="K53" s="22">
        <v>8668.94</v>
      </c>
    </row>
    <row r="54" spans="11:11" x14ac:dyDescent="0.2">
      <c r="K54" s="22">
        <v>8620.08</v>
      </c>
    </row>
    <row r="55" spans="11:11" x14ac:dyDescent="0.2">
      <c r="K55" s="22">
        <v>8599.64</v>
      </c>
    </row>
    <row r="56" spans="11:11" x14ac:dyDescent="0.2">
      <c r="K56" s="22">
        <v>8548.26</v>
      </c>
    </row>
    <row r="57" spans="11:11" x14ac:dyDescent="0.2">
      <c r="K57" s="22">
        <v>8472.94</v>
      </c>
    </row>
    <row r="58" spans="11:11" x14ac:dyDescent="0.2">
      <c r="K58" s="22">
        <v>8462.7199999999993</v>
      </c>
    </row>
    <row r="59" spans="11:11" x14ac:dyDescent="0.2">
      <c r="K59" s="22">
        <v>8433.32</v>
      </c>
    </row>
    <row r="60" spans="11:11" x14ac:dyDescent="0.2">
      <c r="K60" s="22">
        <v>8416.24</v>
      </c>
    </row>
    <row r="61" spans="11:11" x14ac:dyDescent="0.2">
      <c r="K61" s="22">
        <v>8113</v>
      </c>
    </row>
    <row r="62" spans="11:11" x14ac:dyDescent="0.2">
      <c r="K62" s="22">
        <v>7885.64</v>
      </c>
    </row>
    <row r="63" spans="11:11" x14ac:dyDescent="0.2">
      <c r="K63" s="22">
        <v>7823.34</v>
      </c>
    </row>
    <row r="64" spans="11:11" x14ac:dyDescent="0.2">
      <c r="K64" s="22">
        <v>7812</v>
      </c>
    </row>
    <row r="65" spans="11:11" x14ac:dyDescent="0.2">
      <c r="K65" s="22">
        <v>7619.08</v>
      </c>
    </row>
    <row r="66" spans="11:11" x14ac:dyDescent="0.2">
      <c r="K66" s="22">
        <v>7529.2</v>
      </c>
    </row>
    <row r="67" spans="11:11" x14ac:dyDescent="0.2">
      <c r="K67" s="22">
        <v>7432.74</v>
      </c>
    </row>
    <row r="68" spans="11:11" x14ac:dyDescent="0.2">
      <c r="K68" s="22">
        <v>7240.24</v>
      </c>
    </row>
    <row r="69" spans="11:11" x14ac:dyDescent="0.2">
      <c r="K69" s="22">
        <v>7214.2</v>
      </c>
    </row>
    <row r="70" spans="11:11" x14ac:dyDescent="0.2">
      <c r="K70" s="22">
        <v>7210.14</v>
      </c>
    </row>
    <row r="71" spans="11:11" x14ac:dyDescent="0.2">
      <c r="K71" s="22">
        <v>6778.52</v>
      </c>
    </row>
    <row r="72" spans="11:11" x14ac:dyDescent="0.2">
      <c r="K72" s="22">
        <v>6663.58</v>
      </c>
    </row>
    <row r="73" spans="11:11" x14ac:dyDescent="0.2">
      <c r="K73" s="22">
        <v>6663.44</v>
      </c>
    </row>
    <row r="74" spans="11:11" x14ac:dyDescent="0.2">
      <c r="K74" s="22">
        <v>6513.92</v>
      </c>
    </row>
    <row r="75" spans="11:11" x14ac:dyDescent="0.2">
      <c r="K75" s="22">
        <v>6443.08</v>
      </c>
    </row>
    <row r="76" spans="11:11" x14ac:dyDescent="0.2">
      <c r="K76" s="22">
        <v>6175.68</v>
      </c>
    </row>
    <row r="77" spans="11:11" x14ac:dyDescent="0.2">
      <c r="K77" s="22">
        <v>6166.72</v>
      </c>
    </row>
    <row r="78" spans="11:11" x14ac:dyDescent="0.2">
      <c r="K78" s="22">
        <v>6160.98</v>
      </c>
    </row>
    <row r="79" spans="11:11" x14ac:dyDescent="0.2">
      <c r="K79" s="22">
        <v>6107.36</v>
      </c>
    </row>
    <row r="80" spans="11:11" x14ac:dyDescent="0.2">
      <c r="K80" s="22">
        <v>5799.22</v>
      </c>
    </row>
    <row r="81" spans="11:11" x14ac:dyDescent="0.2">
      <c r="K81" s="22">
        <v>5760.16</v>
      </c>
    </row>
    <row r="82" spans="11:11" x14ac:dyDescent="0.2">
      <c r="K82" s="22">
        <v>5639.48</v>
      </c>
    </row>
    <row r="83" spans="11:11" x14ac:dyDescent="0.2">
      <c r="K83" s="22">
        <v>5442.92</v>
      </c>
    </row>
    <row r="84" spans="11:11" x14ac:dyDescent="0.2">
      <c r="K84" s="22">
        <v>5339.04</v>
      </c>
    </row>
    <row r="85" spans="11:11" x14ac:dyDescent="0.2">
      <c r="K85" s="22">
        <v>5193.4399999999996</v>
      </c>
    </row>
    <row r="86" spans="11:11" x14ac:dyDescent="0.2">
      <c r="K86" s="22">
        <v>5172.58</v>
      </c>
    </row>
    <row r="87" spans="11:11" x14ac:dyDescent="0.2">
      <c r="K87" s="22">
        <v>5169.6400000000003</v>
      </c>
    </row>
    <row r="88" spans="11:11" x14ac:dyDescent="0.2">
      <c r="K88" s="22">
        <v>5121.76</v>
      </c>
    </row>
    <row r="89" spans="11:11" x14ac:dyDescent="0.2">
      <c r="K89" s="22">
        <v>5108.04</v>
      </c>
    </row>
    <row r="90" spans="11:11" x14ac:dyDescent="0.2">
      <c r="K90" s="22">
        <v>5074.4399999999996</v>
      </c>
    </row>
    <row r="91" spans="11:11" x14ac:dyDescent="0.2">
      <c r="K91" s="22">
        <v>5071.78</v>
      </c>
    </row>
    <row r="92" spans="11:11" x14ac:dyDescent="0.2">
      <c r="K92" s="22">
        <v>5003.88</v>
      </c>
    </row>
    <row r="93" spans="11:11" x14ac:dyDescent="0.2">
      <c r="K93" s="22">
        <v>4955.58</v>
      </c>
    </row>
    <row r="94" spans="11:11" x14ac:dyDescent="0.2">
      <c r="K94" s="22">
        <v>4947.74</v>
      </c>
    </row>
    <row r="95" spans="11:11" x14ac:dyDescent="0.2">
      <c r="K95" s="22">
        <v>4927.0200000000004</v>
      </c>
    </row>
    <row r="96" spans="11:11" x14ac:dyDescent="0.2">
      <c r="K96" s="22">
        <v>4871.3</v>
      </c>
    </row>
    <row r="97" spans="11:11" x14ac:dyDescent="0.2">
      <c r="K97" s="22">
        <v>4870.32</v>
      </c>
    </row>
    <row r="98" spans="11:11" x14ac:dyDescent="0.2">
      <c r="K98" s="22">
        <v>4656.82</v>
      </c>
    </row>
    <row r="99" spans="11:11" x14ac:dyDescent="0.2">
      <c r="K99" s="22">
        <v>4650.5200000000004</v>
      </c>
    </row>
    <row r="100" spans="11:11" x14ac:dyDescent="0.2">
      <c r="K100" s="22">
        <v>4646.18</v>
      </c>
    </row>
    <row r="101" spans="11:11" x14ac:dyDescent="0.2">
      <c r="K101" s="22">
        <v>4584.8599999999997</v>
      </c>
    </row>
    <row r="102" spans="11:11" x14ac:dyDescent="0.2">
      <c r="K102" s="22">
        <v>4574.08</v>
      </c>
    </row>
    <row r="103" spans="11:11" x14ac:dyDescent="0.2">
      <c r="K103" s="22">
        <v>4370.24</v>
      </c>
    </row>
    <row r="104" spans="11:11" x14ac:dyDescent="0.2">
      <c r="K104" s="22">
        <v>4314.9399999999996</v>
      </c>
    </row>
    <row r="105" spans="11:11" x14ac:dyDescent="0.2">
      <c r="K105" s="22">
        <v>4052.02</v>
      </c>
    </row>
    <row r="106" spans="11:11" x14ac:dyDescent="0.2">
      <c r="K106" s="22">
        <v>4040.68</v>
      </c>
    </row>
    <row r="107" spans="11:11" x14ac:dyDescent="0.2">
      <c r="K107" s="22">
        <v>4036.2</v>
      </c>
    </row>
    <row r="108" spans="11:11" x14ac:dyDescent="0.2">
      <c r="K108" s="22">
        <v>4008.2</v>
      </c>
    </row>
    <row r="109" spans="11:11" x14ac:dyDescent="0.2">
      <c r="K109" s="22">
        <v>3942.4</v>
      </c>
    </row>
    <row r="110" spans="11:11" x14ac:dyDescent="0.2">
      <c r="K110" s="22">
        <v>3771.74</v>
      </c>
    </row>
    <row r="111" spans="11:11" x14ac:dyDescent="0.2">
      <c r="K111" s="22">
        <v>3481.52</v>
      </c>
    </row>
  </sheetData>
  <dataConsolidate/>
  <dataValidations count="6">
    <dataValidation type="list" allowBlank="1" showInputMessage="1" showErrorMessage="1" sqref="B8:E8" xr:uid="{00000000-0002-0000-0500-000000000000}">
      <formula1>$K$2:$K$111</formula1>
    </dataValidation>
    <dataValidation type="list" allowBlank="1" showInputMessage="1" showErrorMessage="1" sqref="E6" xr:uid="{00000000-0002-0000-0500-000001000000}">
      <formula1>"14,15,16,17,18"</formula1>
    </dataValidation>
    <dataValidation type="list" allowBlank="1" showInputMessage="1" showErrorMessage="1" sqref="D6" xr:uid="{00000000-0002-0000-0500-000002000000}">
      <formula1>"15,16,17,18,19,20,21,22"</formula1>
    </dataValidation>
    <dataValidation type="list" allowBlank="1" showInputMessage="1" showErrorMessage="1" sqref="C6" xr:uid="{00000000-0002-0000-0500-000003000000}">
      <formula1>"20,21,22,23,24,25,26"</formula1>
    </dataValidation>
    <dataValidation type="list" allowBlank="1" showInputMessage="1" showErrorMessage="1" sqref="B6" xr:uid="{00000000-0002-0000-0500-000004000000}">
      <formula1>"24,25,26,27,28,29,30"</formula1>
    </dataValidation>
    <dataValidation type="list" allowBlank="1" showInputMessage="1" showErrorMessage="1" sqref="I2:I5" xr:uid="{00000000-0002-0000-0500-000005000000}">
      <formula1>"0,1,2,3,4,5,6,7,8,9,10,11,12,13,14,15,16,17"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1"/>
  <sheetViews>
    <sheetView topLeftCell="C1" workbookViewId="0">
      <selection activeCell="C27" sqref="C27"/>
    </sheetView>
  </sheetViews>
  <sheetFormatPr defaultColWidth="11.43359375" defaultRowHeight="15" x14ac:dyDescent="0.2"/>
  <cols>
    <col min="1" max="1" width="33.2265625" style="15" customWidth="1"/>
    <col min="2" max="2" width="15.19921875" style="15" bestFit="1" customWidth="1"/>
    <col min="3" max="5" width="14.125" style="15" bestFit="1" customWidth="1"/>
    <col min="6" max="6" width="4.5703125" style="15" customWidth="1"/>
    <col min="7" max="7" width="9.28125" style="15" customWidth="1"/>
    <col min="8" max="8" width="26.36328125" style="15" bestFit="1" customWidth="1"/>
    <col min="9" max="10" width="11.43359375" style="15"/>
    <col min="11" max="11" width="25.828125" style="28" bestFit="1" customWidth="1"/>
    <col min="12" max="13" width="11.43359375" style="15" customWidth="1"/>
    <col min="14" max="16384" width="11.43359375" style="15"/>
  </cols>
  <sheetData>
    <row r="1" spans="1:11" x14ac:dyDescent="0.2">
      <c r="B1" s="1" t="s">
        <v>11</v>
      </c>
      <c r="C1" s="1" t="s">
        <v>12</v>
      </c>
      <c r="D1" s="1" t="s">
        <v>13</v>
      </c>
      <c r="E1" s="1" t="s">
        <v>23</v>
      </c>
      <c r="H1" s="1" t="s">
        <v>7</v>
      </c>
      <c r="J1" s="1"/>
      <c r="K1" s="29" t="s">
        <v>26</v>
      </c>
    </row>
    <row r="2" spans="1:11" x14ac:dyDescent="0.2">
      <c r="A2" s="4" t="s">
        <v>0</v>
      </c>
      <c r="B2" s="23">
        <v>1294.5999999999999</v>
      </c>
      <c r="C2" s="23">
        <v>1119.4100000000001</v>
      </c>
      <c r="D2" s="23">
        <v>840.49</v>
      </c>
      <c r="E2" s="23">
        <v>699.52</v>
      </c>
      <c r="H2" s="1" t="s">
        <v>11</v>
      </c>
      <c r="I2" s="26">
        <v>0</v>
      </c>
      <c r="J2" s="5"/>
      <c r="K2" s="30">
        <v>33551.699999999997</v>
      </c>
    </row>
    <row r="3" spans="1:11" x14ac:dyDescent="0.2">
      <c r="A3" s="4" t="s">
        <v>5</v>
      </c>
      <c r="B3" s="23">
        <v>49.83</v>
      </c>
      <c r="C3" s="23">
        <v>40.630000000000003</v>
      </c>
      <c r="D3" s="23">
        <v>30.76</v>
      </c>
      <c r="E3" s="23">
        <v>20.94</v>
      </c>
      <c r="H3" s="1" t="s">
        <v>12</v>
      </c>
      <c r="I3" s="26">
        <v>0</v>
      </c>
      <c r="J3" s="5"/>
      <c r="K3" s="30">
        <v>32521.72</v>
      </c>
    </row>
    <row r="4" spans="1:11" x14ac:dyDescent="0.2">
      <c r="A4" s="4" t="s">
        <v>1</v>
      </c>
      <c r="B4" s="23">
        <v>798.88</v>
      </c>
      <c r="C4" s="23">
        <v>816.41</v>
      </c>
      <c r="D4" s="23">
        <v>726.44</v>
      </c>
      <c r="E4" s="23">
        <v>693.15</v>
      </c>
      <c r="H4" s="1" t="s">
        <v>13</v>
      </c>
      <c r="I4" s="26">
        <v>0</v>
      </c>
      <c r="J4" s="5"/>
      <c r="K4" s="30">
        <v>30462.32</v>
      </c>
    </row>
    <row r="5" spans="1:11" x14ac:dyDescent="0.2">
      <c r="A5" s="4" t="s">
        <v>6</v>
      </c>
      <c r="B5" s="23">
        <v>30.76</v>
      </c>
      <c r="C5" s="23">
        <v>29.62</v>
      </c>
      <c r="D5" s="23">
        <v>26.55</v>
      </c>
      <c r="E5" s="23">
        <v>20.72</v>
      </c>
      <c r="H5" s="1" t="s">
        <v>23</v>
      </c>
      <c r="I5" s="26">
        <v>0</v>
      </c>
      <c r="J5" s="5"/>
      <c r="K5" s="30">
        <v>28403.34</v>
      </c>
    </row>
    <row r="6" spans="1:11" x14ac:dyDescent="0.2">
      <c r="A6" s="4" t="s">
        <v>19</v>
      </c>
      <c r="B6" s="26">
        <v>24</v>
      </c>
      <c r="C6" s="26">
        <v>20</v>
      </c>
      <c r="D6" s="26">
        <v>15</v>
      </c>
      <c r="E6" s="26">
        <v>14</v>
      </c>
      <c r="J6" s="5"/>
      <c r="K6" s="30">
        <v>27372.66</v>
      </c>
    </row>
    <row r="7" spans="1:11" x14ac:dyDescent="0.2">
      <c r="A7" s="4" t="s">
        <v>3</v>
      </c>
      <c r="B7" s="23">
        <f>IF(B6=30,H8,(IF(B6=29,H9,(IF(B6=28,H10,(IF(B6=27,H11,(IF(B6=26,H12,(IF(B6=25,H13,(IF(B6=24,H14,(IF(B6=23,H15,(IF(B6=22,H16,"Nivel Erróneo")))))))))))))))))</f>
        <v>9526.2999999999993</v>
      </c>
      <c r="C7" s="23">
        <f>IF(C6=26,H12,(IF(C6=25,H13,(IF(C6=24,H14,(IF(C6=23,H15,(IF(C6=22,H16,(IF(C6=21,H17,(IF(C6=20,H18,(IF(C6=19,H19,(IF(C6=18,H20,"Nivel Erróneo")))))))))))))))))</f>
        <v>7185.92</v>
      </c>
      <c r="D7" s="23">
        <f>IF(D6=22,H16,(IF(D6=21,H17,(IF(D6=20,H18,(IF(D6=19,H19,(IF(D6=18,H20,(IF(D6=17,H21,(IF(D6=16,H22,(IF(D6=15,H23,"Nivel Erróneo")))))))))))))))</f>
        <v>5351.36</v>
      </c>
      <c r="E7" s="23">
        <f>IF(E6=18,H20,(IF(E6=17,H21,(IF(E6=16,H22,(IF(E6=15,H23,(IF(E6=14,H24,"NivelErróneo")))))))))</f>
        <v>4985.12</v>
      </c>
      <c r="G7" s="1" t="s">
        <v>14</v>
      </c>
      <c r="H7" s="1" t="s">
        <v>15</v>
      </c>
      <c r="I7" s="1"/>
      <c r="J7" s="5"/>
      <c r="K7" s="30">
        <v>25999.54</v>
      </c>
    </row>
    <row r="8" spans="1:11" x14ac:dyDescent="0.2">
      <c r="A8" s="4" t="s">
        <v>2</v>
      </c>
      <c r="B8" s="27">
        <v>3382.82</v>
      </c>
      <c r="C8" s="27">
        <v>11649.12</v>
      </c>
      <c r="D8" s="27">
        <v>4574.08</v>
      </c>
      <c r="E8" s="27">
        <v>3382.82</v>
      </c>
      <c r="G8" s="11">
        <v>30</v>
      </c>
      <c r="H8" s="22">
        <v>15831.76</v>
      </c>
      <c r="I8" s="10" t="s">
        <v>11</v>
      </c>
      <c r="J8" s="5"/>
      <c r="K8" s="30">
        <v>24626.560000000001</v>
      </c>
    </row>
    <row r="9" spans="1:11" x14ac:dyDescent="0.2">
      <c r="A9" s="4" t="s">
        <v>4</v>
      </c>
      <c r="B9" s="23">
        <v>0</v>
      </c>
      <c r="C9" s="23">
        <v>0</v>
      </c>
      <c r="D9" s="23">
        <v>0</v>
      </c>
      <c r="E9" s="23">
        <v>0</v>
      </c>
      <c r="G9" s="11">
        <f>G8-1</f>
        <v>29</v>
      </c>
      <c r="H9" s="22">
        <v>14200.2</v>
      </c>
      <c r="I9" s="10" t="s">
        <v>11</v>
      </c>
      <c r="J9" s="5"/>
      <c r="K9" s="30">
        <v>22910.3</v>
      </c>
    </row>
    <row r="10" spans="1:11" x14ac:dyDescent="0.2">
      <c r="A10" s="4" t="s">
        <v>9</v>
      </c>
      <c r="B10" s="24">
        <v>11.5</v>
      </c>
      <c r="C10" s="24">
        <v>7</v>
      </c>
      <c r="D10" s="24">
        <v>11.5</v>
      </c>
      <c r="E10" s="24">
        <v>11.5</v>
      </c>
      <c r="G10" s="11">
        <f t="shared" ref="G10:G37" si="0">G9-1</f>
        <v>28</v>
      </c>
      <c r="H10" s="22">
        <v>13603.52</v>
      </c>
      <c r="I10" s="10" t="s">
        <v>11</v>
      </c>
      <c r="J10" s="5"/>
      <c r="K10" s="30">
        <v>21443.94</v>
      </c>
    </row>
    <row r="11" spans="1:11" x14ac:dyDescent="0.2">
      <c r="A11" s="4" t="s">
        <v>20</v>
      </c>
      <c r="B11" s="31">
        <v>4.3944999999999999</v>
      </c>
      <c r="C11" s="24">
        <f>$B$11</f>
        <v>4.3944999999999999</v>
      </c>
      <c r="D11" s="24">
        <f t="shared" ref="D11:E11" si="1">$B$11</f>
        <v>4.3944999999999999</v>
      </c>
      <c r="E11" s="24">
        <f t="shared" si="1"/>
        <v>4.3944999999999999</v>
      </c>
      <c r="G11" s="11">
        <f t="shared" si="0"/>
        <v>27</v>
      </c>
      <c r="H11" s="22">
        <v>13005.86</v>
      </c>
      <c r="I11" s="10" t="s">
        <v>11</v>
      </c>
      <c r="J11" s="5"/>
      <c r="K11" s="30">
        <v>20855.8</v>
      </c>
    </row>
    <row r="12" spans="1:11" x14ac:dyDescent="0.2">
      <c r="A12" s="4" t="s">
        <v>22</v>
      </c>
      <c r="B12" s="25">
        <v>51.68</v>
      </c>
      <c r="C12" s="25">
        <v>40.68</v>
      </c>
      <c r="D12" s="25">
        <v>31.24</v>
      </c>
      <c r="E12" s="25">
        <v>24.72</v>
      </c>
      <c r="G12" s="11">
        <f t="shared" si="0"/>
        <v>26</v>
      </c>
      <c r="H12" s="22">
        <v>11410.56</v>
      </c>
      <c r="I12" s="10" t="s">
        <v>16</v>
      </c>
      <c r="J12" s="5"/>
      <c r="K12" s="30">
        <v>20413.96</v>
      </c>
    </row>
    <row r="13" spans="1:11" x14ac:dyDescent="0.2">
      <c r="B13" s="1"/>
      <c r="G13" s="11">
        <f t="shared" si="0"/>
        <v>25</v>
      </c>
      <c r="H13" s="22">
        <v>10123.540000000001</v>
      </c>
      <c r="I13" s="10" t="s">
        <v>16</v>
      </c>
      <c r="J13" s="5"/>
      <c r="K13" s="30">
        <v>18825.52</v>
      </c>
    </row>
    <row r="14" spans="1:11" x14ac:dyDescent="0.2">
      <c r="A14" s="4" t="s">
        <v>8</v>
      </c>
      <c r="B14" s="19">
        <f>((B2+(B3*I2)+(C3*I3)+(D3*I4)+(E3*I5)+(B7/14)+(B8/14)+(B9/12))*((100-B10-B11)/100))-B12-(((B4+(B5*I2)+(C5*I3)+(D5*I4)+(E5*I5)+(B7/14)+(B8/14))/6)*(B11/100))</f>
        <v>1800.0651995333335</v>
      </c>
      <c r="C14" s="19">
        <f>((C2+(B3*I2)+(C3*I3)+(D3*I4)+(E3*I5)+(C7/14)+(C8/14)+(C9/12))*((100-C10-C11)/100))-C12-(((C4+(B5*I2)+(C5*I3)+(D5*I4)+(E5*I5)+(C7/14)+(C8/14))/6)*(C11/100))</f>
        <v>2127.4086185750007</v>
      </c>
      <c r="D14" s="19">
        <f>((D2+(B3*I2)+(C3*I3)+(D3*I4)+(E3*I5)+(D7/14)+(D8/14)+(D9/12))*((100-D10-D11)/100))-D12-(((D4+(B5*I2)+(C5*I3)+(D5*I4)+(E5*I5)+(D7/14)+(D8/14))/6)*(D11/100))</f>
        <v>1261.419560916667</v>
      </c>
      <c r="E14" s="19">
        <f>((E2+(B3*I2)+(C3*I3)+(D3*I4)+(E3*I5)+(E7/14)+(E8/14)+(E9/12))*((100-E10-E11)/100))-E12-(((E4+(B5*I2)+(C5*I3)+(D5*I4)+(E5*I5)+(E7/14)+(E8/14))/6)*(E11/100))</f>
        <v>1056.8673038666668</v>
      </c>
      <c r="G14" s="11">
        <f t="shared" si="0"/>
        <v>24</v>
      </c>
      <c r="H14" s="22">
        <v>9526.2999999999993</v>
      </c>
      <c r="I14" s="10" t="s">
        <v>16</v>
      </c>
      <c r="J14" s="5"/>
      <c r="K14" s="30">
        <v>18354</v>
      </c>
    </row>
    <row r="15" spans="1:11" x14ac:dyDescent="0.2">
      <c r="A15" s="4" t="s">
        <v>10</v>
      </c>
      <c r="B15" s="19">
        <f>((B4+(B5*I2)+(C5*I3)+(D5*I4)+(E5*I5)+(B7/14)+(B8/14))*((100-B10)/100))-B12</f>
        <v>1471.3696</v>
      </c>
      <c r="C15" s="19">
        <f>((C4+(B5*I2)+(C5*I3)+(D5*I4)+(E5*I5)+(C7/14)+(C8/14))*((100-C10)/100))-C12</f>
        <v>1969.7661000000001</v>
      </c>
      <c r="D15" s="19">
        <f>((D4+(B5*I2)+(C5*I3)+(D5*I4)+(E5*I5)+(D7/14)+(D8/14))*((100-D10)/100))-D12</f>
        <v>1239.0890000000002</v>
      </c>
      <c r="E15" s="19">
        <f>((E4+(B5*I2)+(C5*I3)+(D5*I4)+(E5*I5)+(E7/14)+(E8/14))*((100-E10)/100))-E12</f>
        <v>1117.6911</v>
      </c>
      <c r="G15" s="11">
        <f t="shared" si="0"/>
        <v>23</v>
      </c>
      <c r="H15" s="22">
        <v>8929.9</v>
      </c>
      <c r="I15" s="2" t="s">
        <v>12</v>
      </c>
      <c r="J15" s="5"/>
      <c r="K15" s="30">
        <v>16981.580000000002</v>
      </c>
    </row>
    <row r="16" spans="1:11" x14ac:dyDescent="0.2">
      <c r="B16" s="19"/>
      <c r="C16" s="19"/>
      <c r="D16" s="19"/>
      <c r="E16" s="19"/>
      <c r="G16" s="11">
        <f t="shared" si="0"/>
        <v>22</v>
      </c>
      <c r="H16" s="22">
        <v>8332.1</v>
      </c>
      <c r="I16" s="1" t="s">
        <v>18</v>
      </c>
      <c r="J16" s="5"/>
      <c r="K16" s="30">
        <v>16961.419999999998</v>
      </c>
    </row>
    <row r="17" spans="1:11" x14ac:dyDescent="0.2">
      <c r="A17" s="16" t="s">
        <v>27</v>
      </c>
      <c r="B17" s="21">
        <f>B2*12+((B3*I2)+(C3*I3)+(D3*I4)+(E3*I5))*12+B4*2+((B5*I2)+(C5*I3)+(D5*I4)+(E5*I5))*2+B7+B8+B9</f>
        <v>30042.079999999998</v>
      </c>
      <c r="C17" s="21">
        <f>C2*12+((B3*I2)+(C3*I3)+(D3*I4)+(E3*I5))*12+C4*2+((B5*I2)+(C5*I3)+(D5*I4)+(E5*I5))*2+C7+C8+C9</f>
        <v>33900.780000000006</v>
      </c>
      <c r="D17" s="21">
        <f>D2*12+((B3*I2)+(C3*I3)+(D3*I4)+(E3*I5))*12+D4*2+((B5*I2)+(C5*I3)+(D5*I4)+(E5*I5))*2+D7+D8+D9</f>
        <v>21464.200000000004</v>
      </c>
      <c r="E17" s="21">
        <f>E2*12+((B3*I2)+(C3*I3)+(D3*I4)+(E3*I5))*12+E4*2+((B5*I2)+(C5*I3)+(D5*I4)+(E5*I5))*2+E7+E8+E9</f>
        <v>18148.48</v>
      </c>
      <c r="G17" s="11">
        <f t="shared" si="0"/>
        <v>21</v>
      </c>
      <c r="H17" s="22">
        <v>7735.84</v>
      </c>
      <c r="I17" s="1" t="s">
        <v>18</v>
      </c>
      <c r="J17" s="5"/>
      <c r="K17" s="30">
        <v>16850.68</v>
      </c>
    </row>
    <row r="18" spans="1:11" x14ac:dyDescent="0.2">
      <c r="A18" s="16" t="s">
        <v>28</v>
      </c>
      <c r="B18" s="21">
        <f>B14*12+B15*2</f>
        <v>24543.521594400001</v>
      </c>
      <c r="C18" s="21">
        <f>C14*12+C15*2</f>
        <v>29468.435622900011</v>
      </c>
      <c r="D18" s="21">
        <f>D14*12+D15*2</f>
        <v>17615.212731000003</v>
      </c>
      <c r="E18" s="21">
        <f>E14*12+E15*2</f>
        <v>14917.789846400003</v>
      </c>
      <c r="G18" s="11">
        <f t="shared" si="0"/>
        <v>20</v>
      </c>
      <c r="H18" s="22">
        <v>7185.92</v>
      </c>
      <c r="I18" s="1" t="s">
        <v>18</v>
      </c>
      <c r="K18" s="30">
        <v>15951.32</v>
      </c>
    </row>
    <row r="19" spans="1:11" x14ac:dyDescent="0.2">
      <c r="G19" s="11">
        <f t="shared" si="0"/>
        <v>19</v>
      </c>
      <c r="H19" s="22">
        <v>6819.26</v>
      </c>
      <c r="I19" s="9" t="s">
        <v>13</v>
      </c>
      <c r="K19" s="30">
        <v>15586.9</v>
      </c>
    </row>
    <row r="20" spans="1:11" x14ac:dyDescent="0.2">
      <c r="B20" s="5"/>
      <c r="G20" s="11">
        <f t="shared" si="0"/>
        <v>18</v>
      </c>
      <c r="H20" s="22">
        <v>6452.18</v>
      </c>
      <c r="I20" s="1" t="s">
        <v>29</v>
      </c>
      <c r="K20" s="30">
        <v>15570.8</v>
      </c>
    </row>
    <row r="21" spans="1:11" x14ac:dyDescent="0.2">
      <c r="B21" s="5"/>
      <c r="G21" s="11">
        <f t="shared" si="0"/>
        <v>17</v>
      </c>
      <c r="H21" s="22">
        <v>6085.1</v>
      </c>
      <c r="I21" s="9" t="s">
        <v>25</v>
      </c>
      <c r="K21" s="30">
        <v>15311.94</v>
      </c>
    </row>
    <row r="22" spans="1:11" x14ac:dyDescent="0.2">
      <c r="G22" s="11">
        <f t="shared" si="0"/>
        <v>16</v>
      </c>
      <c r="H22" s="22">
        <v>5719</v>
      </c>
      <c r="I22" s="9" t="s">
        <v>25</v>
      </c>
      <c r="K22" s="30">
        <v>15285.76</v>
      </c>
    </row>
    <row r="23" spans="1:11" x14ac:dyDescent="0.2">
      <c r="G23" s="11">
        <f t="shared" si="0"/>
        <v>15</v>
      </c>
      <c r="H23" s="22">
        <v>5351.36</v>
      </c>
      <c r="I23" s="9" t="s">
        <v>25</v>
      </c>
      <c r="K23" s="30">
        <v>15177.4</v>
      </c>
    </row>
    <row r="24" spans="1:11" x14ac:dyDescent="0.2">
      <c r="G24" s="11">
        <f t="shared" si="0"/>
        <v>14</v>
      </c>
      <c r="H24" s="22">
        <v>4985.12</v>
      </c>
      <c r="I24" s="13" t="s">
        <v>23</v>
      </c>
      <c r="K24" s="30">
        <v>14635.32</v>
      </c>
    </row>
    <row r="25" spans="1:11" x14ac:dyDescent="0.2">
      <c r="G25" s="11">
        <f t="shared" si="0"/>
        <v>13</v>
      </c>
      <c r="H25" s="22">
        <v>4617.76</v>
      </c>
      <c r="K25" s="30">
        <v>14169.4</v>
      </c>
    </row>
    <row r="26" spans="1:11" x14ac:dyDescent="0.2">
      <c r="G26" s="11">
        <f t="shared" si="0"/>
        <v>12</v>
      </c>
      <c r="H26" s="22">
        <v>4250.54</v>
      </c>
      <c r="K26" s="30">
        <v>13943.02</v>
      </c>
    </row>
    <row r="27" spans="1:11" x14ac:dyDescent="0.2">
      <c r="G27" s="11">
        <f t="shared" si="0"/>
        <v>11</v>
      </c>
      <c r="H27" s="22">
        <v>3883.46</v>
      </c>
      <c r="K27" s="30">
        <v>13759.2</v>
      </c>
    </row>
    <row r="28" spans="1:11" x14ac:dyDescent="0.2">
      <c r="G28" s="11">
        <f t="shared" si="0"/>
        <v>10</v>
      </c>
      <c r="H28" s="22">
        <v>3517.08</v>
      </c>
      <c r="K28" s="30">
        <v>13738.48</v>
      </c>
    </row>
    <row r="29" spans="1:11" x14ac:dyDescent="0.2">
      <c r="B29" s="5"/>
      <c r="G29" s="11">
        <f t="shared" si="0"/>
        <v>9</v>
      </c>
      <c r="H29" s="22">
        <v>3333.96</v>
      </c>
      <c r="K29" s="30">
        <v>13716.22</v>
      </c>
    </row>
    <row r="30" spans="1:11" x14ac:dyDescent="0.2">
      <c r="G30" s="11">
        <f t="shared" si="0"/>
        <v>8</v>
      </c>
      <c r="H30" s="22">
        <v>3149.86</v>
      </c>
      <c r="K30" s="30">
        <v>13710.48</v>
      </c>
    </row>
    <row r="31" spans="1:11" x14ac:dyDescent="0.2">
      <c r="G31" s="11">
        <f t="shared" si="0"/>
        <v>7</v>
      </c>
      <c r="H31" s="22">
        <v>2966.6</v>
      </c>
      <c r="K31" s="30">
        <v>13626.06</v>
      </c>
    </row>
    <row r="32" spans="1:11" x14ac:dyDescent="0.2">
      <c r="G32" s="11">
        <f t="shared" si="0"/>
        <v>6</v>
      </c>
      <c r="H32" s="22">
        <v>2783.06</v>
      </c>
      <c r="K32" s="30">
        <v>13058.36</v>
      </c>
    </row>
    <row r="33" spans="7:11" x14ac:dyDescent="0.2">
      <c r="G33" s="11">
        <f t="shared" si="0"/>
        <v>5</v>
      </c>
      <c r="H33" s="22">
        <v>2599.66</v>
      </c>
      <c r="K33" s="30">
        <v>12905.76</v>
      </c>
    </row>
    <row r="34" spans="7:11" x14ac:dyDescent="0.2">
      <c r="G34" s="11">
        <f t="shared" si="0"/>
        <v>4</v>
      </c>
      <c r="H34" s="22">
        <v>2324.56</v>
      </c>
      <c r="K34" s="30">
        <v>12806.36</v>
      </c>
    </row>
    <row r="35" spans="7:11" x14ac:dyDescent="0.2">
      <c r="G35" s="11">
        <f t="shared" si="0"/>
        <v>3</v>
      </c>
      <c r="H35" s="22">
        <v>2049.88</v>
      </c>
      <c r="K35" s="30">
        <v>12521.18</v>
      </c>
    </row>
    <row r="36" spans="7:11" x14ac:dyDescent="0.2">
      <c r="G36" s="11">
        <f t="shared" si="0"/>
        <v>2</v>
      </c>
      <c r="H36" s="22">
        <v>1774.78</v>
      </c>
      <c r="K36" s="30">
        <v>12350.94</v>
      </c>
    </row>
    <row r="37" spans="7:11" x14ac:dyDescent="0.2">
      <c r="G37" s="11">
        <f t="shared" si="0"/>
        <v>1</v>
      </c>
      <c r="H37" s="22">
        <v>1499.96</v>
      </c>
      <c r="K37" s="30">
        <v>12334.28</v>
      </c>
    </row>
    <row r="38" spans="7:11" x14ac:dyDescent="0.2">
      <c r="K38" s="30">
        <v>12236.84</v>
      </c>
    </row>
    <row r="39" spans="7:11" x14ac:dyDescent="0.2">
      <c r="K39" s="30">
        <v>12029.78</v>
      </c>
    </row>
    <row r="40" spans="7:11" x14ac:dyDescent="0.2">
      <c r="K40" s="30">
        <v>12000.24</v>
      </c>
    </row>
    <row r="41" spans="7:11" x14ac:dyDescent="0.2">
      <c r="K41" s="30">
        <v>11649.12</v>
      </c>
    </row>
    <row r="42" spans="7:11" x14ac:dyDescent="0.2">
      <c r="K42" s="30">
        <v>11398.52</v>
      </c>
    </row>
    <row r="43" spans="7:11" x14ac:dyDescent="0.2">
      <c r="K43" s="30">
        <v>11172.84</v>
      </c>
    </row>
    <row r="44" spans="7:11" x14ac:dyDescent="0.2">
      <c r="K44" s="30">
        <v>10471.44</v>
      </c>
    </row>
    <row r="45" spans="7:11" x14ac:dyDescent="0.2">
      <c r="K45" s="30">
        <v>10425.799999999999</v>
      </c>
    </row>
    <row r="46" spans="7:11" x14ac:dyDescent="0.2">
      <c r="K46" s="30">
        <v>10336.200000000001</v>
      </c>
    </row>
    <row r="47" spans="7:11" x14ac:dyDescent="0.2">
      <c r="K47" s="30">
        <v>10168.34</v>
      </c>
    </row>
    <row r="48" spans="7:11" x14ac:dyDescent="0.2">
      <c r="K48" s="30">
        <v>10068.94</v>
      </c>
    </row>
    <row r="49" spans="11:11" x14ac:dyDescent="0.2">
      <c r="K49" s="30">
        <v>9539.0400000000009</v>
      </c>
    </row>
    <row r="50" spans="11:11" x14ac:dyDescent="0.2">
      <c r="K50" s="30">
        <v>9466.94</v>
      </c>
    </row>
    <row r="51" spans="11:11" x14ac:dyDescent="0.2">
      <c r="K51" s="30">
        <v>9375.7999999999993</v>
      </c>
    </row>
    <row r="52" spans="11:11" x14ac:dyDescent="0.2">
      <c r="K52" s="30">
        <v>9180.7800000000007</v>
      </c>
    </row>
    <row r="53" spans="11:11" x14ac:dyDescent="0.2">
      <c r="K53" s="30">
        <v>9060.3799999999992</v>
      </c>
    </row>
    <row r="54" spans="11:11" x14ac:dyDescent="0.2">
      <c r="K54" s="30">
        <v>9009.2800000000007</v>
      </c>
    </row>
    <row r="55" spans="11:11" x14ac:dyDescent="0.2">
      <c r="K55" s="30">
        <v>8988</v>
      </c>
    </row>
    <row r="56" spans="11:11" x14ac:dyDescent="0.2">
      <c r="K56" s="30">
        <v>8934.24</v>
      </c>
    </row>
    <row r="57" spans="11:11" x14ac:dyDescent="0.2">
      <c r="K57" s="30">
        <v>8855.42</v>
      </c>
    </row>
    <row r="58" spans="11:11" x14ac:dyDescent="0.2">
      <c r="K58" s="30">
        <v>8844.7800000000007</v>
      </c>
    </row>
    <row r="59" spans="11:11" x14ac:dyDescent="0.2">
      <c r="K59" s="30">
        <v>8814.1200000000008</v>
      </c>
    </row>
    <row r="60" spans="11:11" x14ac:dyDescent="0.2">
      <c r="K60" s="30">
        <v>8796.2000000000007</v>
      </c>
    </row>
    <row r="61" spans="11:11" x14ac:dyDescent="0.2">
      <c r="K61" s="30">
        <v>8479.24</v>
      </c>
    </row>
    <row r="62" spans="11:11" x14ac:dyDescent="0.2">
      <c r="K62" s="30">
        <v>8241.7999999999993</v>
      </c>
    </row>
    <row r="63" spans="11:11" x14ac:dyDescent="0.2">
      <c r="K63" s="30">
        <v>8176.42</v>
      </c>
    </row>
    <row r="64" spans="11:11" x14ac:dyDescent="0.2">
      <c r="K64" s="30">
        <v>8164.8</v>
      </c>
    </row>
    <row r="65" spans="11:11" x14ac:dyDescent="0.2">
      <c r="K65" s="30">
        <v>7963.06</v>
      </c>
    </row>
    <row r="66" spans="11:11" x14ac:dyDescent="0.2">
      <c r="K66" s="30">
        <v>7868.98</v>
      </c>
    </row>
    <row r="67" spans="11:11" x14ac:dyDescent="0.2">
      <c r="K67" s="30">
        <v>7768.32</v>
      </c>
    </row>
    <row r="68" spans="11:11" x14ac:dyDescent="0.2">
      <c r="K68" s="30">
        <v>7567.14</v>
      </c>
    </row>
    <row r="69" spans="11:11" x14ac:dyDescent="0.2">
      <c r="K69" s="30">
        <v>7539.98</v>
      </c>
    </row>
    <row r="70" spans="11:11" x14ac:dyDescent="0.2">
      <c r="K70" s="30">
        <v>7535.64</v>
      </c>
    </row>
    <row r="71" spans="11:11" x14ac:dyDescent="0.2">
      <c r="K71" s="30">
        <v>7084.56</v>
      </c>
    </row>
    <row r="72" spans="11:11" x14ac:dyDescent="0.2">
      <c r="K72" s="30">
        <v>6964.44</v>
      </c>
    </row>
    <row r="73" spans="11:11" x14ac:dyDescent="0.2">
      <c r="K73" s="30">
        <v>6964.3</v>
      </c>
    </row>
    <row r="74" spans="11:11" x14ac:dyDescent="0.2">
      <c r="K74" s="30">
        <v>6808.06</v>
      </c>
    </row>
    <row r="75" spans="11:11" x14ac:dyDescent="0.2">
      <c r="K75" s="30">
        <v>6734</v>
      </c>
    </row>
    <row r="76" spans="11:11" x14ac:dyDescent="0.2">
      <c r="K76" s="30">
        <v>6454.56</v>
      </c>
    </row>
    <row r="77" spans="11:11" x14ac:dyDescent="0.2">
      <c r="K77" s="30">
        <v>6445.04</v>
      </c>
    </row>
    <row r="78" spans="11:11" x14ac:dyDescent="0.2">
      <c r="K78" s="30">
        <v>6439.16</v>
      </c>
    </row>
    <row r="79" spans="11:11" x14ac:dyDescent="0.2">
      <c r="K79" s="30">
        <v>6383.16</v>
      </c>
    </row>
    <row r="80" spans="11:11" x14ac:dyDescent="0.2">
      <c r="K80" s="30">
        <v>6061.02</v>
      </c>
    </row>
    <row r="81" spans="11:11" x14ac:dyDescent="0.2">
      <c r="K81" s="30">
        <v>6020.14</v>
      </c>
    </row>
    <row r="82" spans="11:11" x14ac:dyDescent="0.2">
      <c r="K82" s="30">
        <v>5894</v>
      </c>
    </row>
    <row r="83" spans="11:11" x14ac:dyDescent="0.2">
      <c r="K83" s="30">
        <v>5688.76</v>
      </c>
    </row>
    <row r="84" spans="11:11" x14ac:dyDescent="0.2">
      <c r="K84" s="30">
        <v>5580.12</v>
      </c>
    </row>
    <row r="85" spans="11:11" x14ac:dyDescent="0.2">
      <c r="K85" s="30">
        <v>5427.94</v>
      </c>
    </row>
    <row r="86" spans="11:11" x14ac:dyDescent="0.2">
      <c r="K86" s="30">
        <v>5406.24</v>
      </c>
    </row>
    <row r="87" spans="11:11" x14ac:dyDescent="0.2">
      <c r="K87" s="30">
        <v>5403.02</v>
      </c>
    </row>
    <row r="88" spans="11:11" x14ac:dyDescent="0.2">
      <c r="K88" s="30">
        <v>5353.04</v>
      </c>
    </row>
    <row r="89" spans="11:11" x14ac:dyDescent="0.2">
      <c r="K89" s="30">
        <v>5338.76</v>
      </c>
    </row>
    <row r="90" spans="11:11" x14ac:dyDescent="0.2">
      <c r="K90" s="30">
        <v>5303.48</v>
      </c>
    </row>
    <row r="91" spans="11:11" x14ac:dyDescent="0.2">
      <c r="K91" s="30">
        <v>5300.82</v>
      </c>
    </row>
    <row r="92" spans="11:11" x14ac:dyDescent="0.2">
      <c r="K92" s="30">
        <v>5229.7</v>
      </c>
    </row>
    <row r="93" spans="11:11" x14ac:dyDescent="0.2">
      <c r="K93" s="30">
        <v>5179.4399999999996</v>
      </c>
    </row>
    <row r="94" spans="11:11" x14ac:dyDescent="0.2">
      <c r="K94" s="30">
        <v>5171.18</v>
      </c>
    </row>
    <row r="95" spans="11:11" x14ac:dyDescent="0.2">
      <c r="K95" s="30">
        <v>5149.4799999999996</v>
      </c>
    </row>
    <row r="96" spans="11:11" x14ac:dyDescent="0.2">
      <c r="K96" s="30">
        <v>5091.24</v>
      </c>
    </row>
    <row r="97" spans="11:11" x14ac:dyDescent="0.2">
      <c r="K97" s="30">
        <v>5090.26</v>
      </c>
    </row>
    <row r="98" spans="11:11" x14ac:dyDescent="0.2">
      <c r="K98" s="30">
        <v>4867.1000000000004</v>
      </c>
    </row>
    <row r="99" spans="11:11" x14ac:dyDescent="0.2">
      <c r="K99" s="30">
        <v>4860.5200000000004</v>
      </c>
    </row>
    <row r="100" spans="11:11" x14ac:dyDescent="0.2">
      <c r="K100" s="30">
        <v>4855.8999999999996</v>
      </c>
    </row>
    <row r="101" spans="11:11" x14ac:dyDescent="0.2">
      <c r="K101" s="30">
        <v>4791.92</v>
      </c>
    </row>
    <row r="102" spans="11:11" x14ac:dyDescent="0.2">
      <c r="K102" s="30">
        <v>4780.58</v>
      </c>
    </row>
    <row r="103" spans="11:11" x14ac:dyDescent="0.2">
      <c r="K103" s="30">
        <v>4567.5</v>
      </c>
    </row>
    <row r="104" spans="11:11" x14ac:dyDescent="0.2">
      <c r="K104" s="30">
        <v>4509.82</v>
      </c>
    </row>
    <row r="105" spans="11:11" x14ac:dyDescent="0.2">
      <c r="K105" s="30">
        <v>4234.8599999999997</v>
      </c>
    </row>
    <row r="106" spans="11:11" x14ac:dyDescent="0.2">
      <c r="K106" s="30">
        <v>4223.1000000000004</v>
      </c>
    </row>
    <row r="107" spans="11:11" x14ac:dyDescent="0.2">
      <c r="K107" s="30">
        <v>4218.4799999999996</v>
      </c>
    </row>
    <row r="108" spans="11:11" x14ac:dyDescent="0.2">
      <c r="K108" s="30">
        <v>4189.22</v>
      </c>
    </row>
    <row r="109" spans="11:11" x14ac:dyDescent="0.2">
      <c r="K109" s="30">
        <v>4120.34</v>
      </c>
    </row>
    <row r="110" spans="11:11" x14ac:dyDescent="0.2">
      <c r="K110" s="30">
        <v>3941.98</v>
      </c>
    </row>
    <row r="111" spans="11:11" x14ac:dyDescent="0.2">
      <c r="K111" s="30">
        <v>3638.6</v>
      </c>
    </row>
  </sheetData>
  <dataConsolidate/>
  <dataValidations count="6">
    <dataValidation type="list" allowBlank="1" showInputMessage="1" showErrorMessage="1" sqref="I2:I5" xr:uid="{00000000-0002-0000-0600-000000000000}">
      <formula1>"0,1,2,3,4,5,6,7,8,9,10,11,12,13,14,15,16,17"</formula1>
    </dataValidation>
    <dataValidation type="list" allowBlank="1" showInputMessage="1" showErrorMessage="1" sqref="B6" xr:uid="{00000000-0002-0000-0600-000001000000}">
      <formula1>"24,25,26,27,28,29,30"</formula1>
    </dataValidation>
    <dataValidation type="list" allowBlank="1" showInputMessage="1" showErrorMessage="1" sqref="C6" xr:uid="{00000000-0002-0000-0600-000002000000}">
      <formula1>"20,21,22,23,24,25,26"</formula1>
    </dataValidation>
    <dataValidation type="list" allowBlank="1" showInputMessage="1" showErrorMessage="1" sqref="D6" xr:uid="{00000000-0002-0000-0600-000003000000}">
      <formula1>"15,16,17,18,19,20,21,22"</formula1>
    </dataValidation>
    <dataValidation type="list" allowBlank="1" showInputMessage="1" showErrorMessage="1" sqref="E6" xr:uid="{00000000-0002-0000-0600-000004000000}">
      <formula1>"14,15,16,17,18"</formula1>
    </dataValidation>
    <dataValidation type="list" allowBlank="1" showInputMessage="1" showErrorMessage="1" sqref="B8:E8" xr:uid="{00000000-0002-0000-0600-000005000000}">
      <formula1>$K$2:$K$111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2016</vt:lpstr>
      <vt:lpstr>2017</vt:lpstr>
      <vt:lpstr>2018</vt:lpstr>
      <vt:lpstr>2019</vt:lpstr>
      <vt:lpstr>2020</vt:lpstr>
      <vt:lpstr>2022</vt:lpstr>
      <vt:lpstr>2023 0,5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javier</cp:lastModifiedBy>
  <dcterms:created xsi:type="dcterms:W3CDTF">2016-08-04T14:25:08Z</dcterms:created>
  <dcterms:modified xsi:type="dcterms:W3CDTF">2023-10-10T12:39:14Z</dcterms:modified>
</cp:coreProperties>
</file>