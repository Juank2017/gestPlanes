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conciliaciones/"/>
    </mc:Choice>
  </mc:AlternateContent>
  <xr:revisionPtr revIDLastSave="0" documentId="8_{4A41E598-41E6-4DB9-925F-A129EB99E3CC}" xr6:coauthVersionLast="47" xr6:coauthVersionMax="47" xr10:uidLastSave="{00000000-0000-0000-0000-000000000000}"/>
  <bookViews>
    <workbookView xWindow="-110" yWindow="-110" windowWidth="19420" windowHeight="10300" tabRatio="501" activeTab="1" xr2:uid="{00000000-000D-0000-FFFF-FFFF00000000}"/>
  </bookViews>
  <sheets>
    <sheet name="Hoja1" sheetId="1" r:id="rId1"/>
    <sheet name="SERGIO" sheetId="2" r:id="rId2"/>
    <sheet name="LISTADO CITACIONES" sheetId="3" r:id="rId3"/>
    <sheet name="Hoja4" sheetId="4" r:id="rId4"/>
  </sheets>
  <definedNames>
    <definedName name="_xlnm._FilterDatabase" localSheetId="1" hidden="1">SERGIO!$A$1:$K$391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435" i="3" l="1"/>
  <c r="D435" i="3"/>
  <c r="C435" i="3"/>
  <c r="B435" i="3"/>
  <c r="A435" i="3"/>
  <c r="E434" i="3"/>
  <c r="D434" i="3"/>
  <c r="C434" i="3"/>
  <c r="B434" i="3"/>
  <c r="A434" i="3"/>
  <c r="E433" i="3"/>
  <c r="D433" i="3"/>
  <c r="C433" i="3"/>
  <c r="B433" i="3"/>
  <c r="A433" i="3"/>
  <c r="E432" i="3"/>
  <c r="D432" i="3"/>
  <c r="C432" i="3"/>
  <c r="B432" i="3"/>
  <c r="A432" i="3"/>
  <c r="E431" i="3"/>
  <c r="D431" i="3"/>
  <c r="C431" i="3"/>
  <c r="B431" i="3"/>
  <c r="A431" i="3"/>
  <c r="E430" i="3"/>
  <c r="D430" i="3"/>
  <c r="C430" i="3"/>
  <c r="B430" i="3"/>
  <c r="A430" i="3"/>
  <c r="E429" i="3"/>
  <c r="D429" i="3"/>
  <c r="C429" i="3"/>
  <c r="B429" i="3"/>
  <c r="A429" i="3"/>
  <c r="E428" i="3"/>
  <c r="D428" i="3"/>
  <c r="C428" i="3"/>
  <c r="B428" i="3"/>
  <c r="A428" i="3"/>
  <c r="E427" i="3"/>
  <c r="D427" i="3"/>
  <c r="C427" i="3"/>
  <c r="B427" i="3"/>
  <c r="A427" i="3"/>
  <c r="E426" i="3"/>
  <c r="D426" i="3"/>
  <c r="C426" i="3"/>
  <c r="B426" i="3"/>
  <c r="A426" i="3"/>
  <c r="E425" i="3"/>
  <c r="D425" i="3"/>
  <c r="C425" i="3"/>
  <c r="B425" i="3"/>
  <c r="A425" i="3"/>
  <c r="E424" i="3"/>
  <c r="D424" i="3"/>
  <c r="C424" i="3"/>
  <c r="B424" i="3"/>
  <c r="A424" i="3"/>
  <c r="E423" i="3"/>
  <c r="D423" i="3"/>
  <c r="C423" i="3"/>
  <c r="B423" i="3"/>
  <c r="A423" i="3"/>
  <c r="E422" i="3"/>
  <c r="D422" i="3"/>
  <c r="C422" i="3"/>
  <c r="B422" i="3"/>
  <c r="A422" i="3"/>
  <c r="E421" i="3"/>
  <c r="D421" i="3"/>
  <c r="C421" i="3"/>
  <c r="B421" i="3"/>
  <c r="A421" i="3"/>
  <c r="E420" i="3"/>
  <c r="D420" i="3"/>
  <c r="C420" i="3"/>
  <c r="B420" i="3"/>
  <c r="A420" i="3"/>
  <c r="E419" i="3"/>
  <c r="D419" i="3"/>
  <c r="C419" i="3"/>
  <c r="B419" i="3"/>
  <c r="A419" i="3"/>
  <c r="E418" i="3"/>
  <c r="D418" i="3"/>
  <c r="C418" i="3"/>
  <c r="B418" i="3"/>
  <c r="A418" i="3"/>
  <c r="E417" i="3"/>
  <c r="D417" i="3"/>
  <c r="C417" i="3"/>
  <c r="B417" i="3"/>
  <c r="A417" i="3"/>
  <c r="E416" i="3"/>
  <c r="D416" i="3"/>
  <c r="C416" i="3"/>
  <c r="B416" i="3"/>
  <c r="A416" i="3"/>
  <c r="E415" i="3"/>
  <c r="D415" i="3"/>
  <c r="C415" i="3"/>
  <c r="B415" i="3"/>
  <c r="A415" i="3"/>
  <c r="E414" i="3"/>
  <c r="D414" i="3"/>
  <c r="C414" i="3"/>
  <c r="B414" i="3"/>
  <c r="A414" i="3"/>
  <c r="E413" i="3"/>
  <c r="D413" i="3"/>
  <c r="C413" i="3"/>
  <c r="B413" i="3"/>
  <c r="A413" i="3"/>
  <c r="E412" i="3"/>
  <c r="D412" i="3"/>
  <c r="C412" i="3"/>
  <c r="B412" i="3"/>
  <c r="A412" i="3"/>
  <c r="E411" i="3"/>
  <c r="D411" i="3"/>
  <c r="C411" i="3"/>
  <c r="B411" i="3"/>
  <c r="A411" i="3"/>
  <c r="E410" i="3"/>
  <c r="D410" i="3"/>
  <c r="C410" i="3"/>
  <c r="B410" i="3"/>
  <c r="A410" i="3"/>
  <c r="E409" i="3"/>
  <c r="D409" i="3"/>
  <c r="C409" i="3"/>
  <c r="B409" i="3"/>
  <c r="A409" i="3"/>
  <c r="E408" i="3"/>
  <c r="D408" i="3"/>
  <c r="C408" i="3"/>
  <c r="B408" i="3"/>
  <c r="A408" i="3"/>
  <c r="E407" i="3"/>
  <c r="D407" i="3"/>
  <c r="C407" i="3"/>
  <c r="B407" i="3"/>
  <c r="A407" i="3"/>
  <c r="E406" i="3"/>
  <c r="D406" i="3"/>
  <c r="C406" i="3"/>
  <c r="B406" i="3"/>
  <c r="A406" i="3"/>
  <c r="E405" i="3"/>
  <c r="D405" i="3"/>
  <c r="C405" i="3"/>
  <c r="B405" i="3"/>
  <c r="A405" i="3"/>
  <c r="E404" i="3"/>
  <c r="D404" i="3"/>
  <c r="C404" i="3"/>
  <c r="B404" i="3"/>
  <c r="A404" i="3"/>
  <c r="E403" i="3"/>
  <c r="D403" i="3"/>
  <c r="C403" i="3"/>
  <c r="B403" i="3"/>
  <c r="A403" i="3"/>
  <c r="E402" i="3"/>
  <c r="D402" i="3"/>
  <c r="C402" i="3"/>
  <c r="B402" i="3"/>
  <c r="A402" i="3"/>
  <c r="E401" i="3"/>
  <c r="D401" i="3"/>
  <c r="C401" i="3"/>
  <c r="B401" i="3"/>
  <c r="A401" i="3"/>
  <c r="E400" i="3"/>
  <c r="D400" i="3"/>
  <c r="C400" i="3"/>
  <c r="B400" i="3"/>
  <c r="A400" i="3"/>
  <c r="E399" i="3"/>
  <c r="D399" i="3"/>
  <c r="C399" i="3"/>
  <c r="B399" i="3"/>
  <c r="A399" i="3"/>
  <c r="E398" i="3"/>
  <c r="D398" i="3"/>
  <c r="C398" i="3"/>
  <c r="B398" i="3"/>
  <c r="A398" i="3"/>
  <c r="E397" i="3"/>
  <c r="D397" i="3"/>
  <c r="C397" i="3"/>
  <c r="B397" i="3"/>
  <c r="A397" i="3"/>
  <c r="E396" i="3"/>
  <c r="D396" i="3"/>
  <c r="C396" i="3"/>
  <c r="B396" i="3"/>
  <c r="A396" i="3"/>
  <c r="E395" i="3"/>
  <c r="D395" i="3"/>
  <c r="C395" i="3"/>
  <c r="B395" i="3"/>
  <c r="A395" i="3"/>
  <c r="E394" i="3"/>
  <c r="D394" i="3"/>
  <c r="C394" i="3"/>
  <c r="B394" i="3"/>
  <c r="A394" i="3"/>
  <c r="E393" i="3"/>
  <c r="D393" i="3"/>
  <c r="C393" i="3"/>
  <c r="B393" i="3"/>
  <c r="A393" i="3"/>
  <c r="E392" i="3"/>
  <c r="D392" i="3"/>
  <c r="C392" i="3"/>
  <c r="B392" i="3"/>
  <c r="A392" i="3"/>
  <c r="E391" i="3"/>
  <c r="D391" i="3"/>
  <c r="C391" i="3"/>
  <c r="B391" i="3"/>
  <c r="A391" i="3"/>
  <c r="E390" i="3"/>
  <c r="D390" i="3"/>
  <c r="C390" i="3"/>
  <c r="B390" i="3"/>
  <c r="A390" i="3"/>
  <c r="E389" i="3"/>
  <c r="D389" i="3"/>
  <c r="C389" i="3"/>
  <c r="B389" i="3"/>
  <c r="A389" i="3"/>
  <c r="E388" i="3"/>
  <c r="D388" i="3"/>
  <c r="C388" i="3"/>
  <c r="B388" i="3"/>
  <c r="A388" i="3"/>
  <c r="E387" i="3"/>
  <c r="D387" i="3"/>
  <c r="C387" i="3"/>
  <c r="B387" i="3"/>
  <c r="A387" i="3"/>
  <c r="E386" i="3"/>
  <c r="D386" i="3"/>
  <c r="C386" i="3"/>
  <c r="B386" i="3"/>
  <c r="A386" i="3"/>
  <c r="E385" i="3"/>
  <c r="D385" i="3"/>
  <c r="C385" i="3"/>
  <c r="B385" i="3"/>
  <c r="A385" i="3"/>
  <c r="E384" i="3"/>
  <c r="D384" i="3"/>
  <c r="C384" i="3"/>
  <c r="B384" i="3"/>
  <c r="A384" i="3"/>
  <c r="E383" i="3"/>
  <c r="D383" i="3"/>
  <c r="C383" i="3"/>
  <c r="B383" i="3"/>
  <c r="A383" i="3"/>
  <c r="E382" i="3"/>
  <c r="D382" i="3"/>
  <c r="C382" i="3"/>
  <c r="B382" i="3"/>
  <c r="A382" i="3"/>
  <c r="E381" i="3"/>
  <c r="D381" i="3"/>
  <c r="C381" i="3"/>
  <c r="B381" i="3"/>
  <c r="A381" i="3"/>
  <c r="E380" i="3"/>
  <c r="D380" i="3"/>
  <c r="C380" i="3"/>
  <c r="B380" i="3"/>
  <c r="A380" i="3"/>
  <c r="E379" i="3"/>
  <c r="D379" i="3"/>
  <c r="C379" i="3"/>
  <c r="B379" i="3"/>
  <c r="A379" i="3"/>
  <c r="E378" i="3"/>
  <c r="D378" i="3"/>
  <c r="C378" i="3"/>
  <c r="B378" i="3"/>
  <c r="A378" i="3"/>
  <c r="E377" i="3"/>
  <c r="D377" i="3"/>
  <c r="C377" i="3"/>
  <c r="B377" i="3"/>
  <c r="A377" i="3"/>
  <c r="E376" i="3"/>
  <c r="D376" i="3"/>
  <c r="C376" i="3"/>
  <c r="B376" i="3"/>
  <c r="A376" i="3"/>
  <c r="E375" i="3"/>
  <c r="D375" i="3"/>
  <c r="C375" i="3"/>
  <c r="B375" i="3"/>
  <c r="A375" i="3"/>
  <c r="E374" i="3"/>
  <c r="D374" i="3"/>
  <c r="C374" i="3"/>
  <c r="B374" i="3"/>
  <c r="A374" i="3"/>
  <c r="E373" i="3"/>
  <c r="D373" i="3"/>
  <c r="C373" i="3"/>
  <c r="B373" i="3"/>
  <c r="A373" i="3"/>
  <c r="E372" i="3"/>
  <c r="D372" i="3"/>
  <c r="C372" i="3"/>
  <c r="B372" i="3"/>
  <c r="A372" i="3"/>
  <c r="E371" i="3"/>
  <c r="D371" i="3"/>
  <c r="C371" i="3"/>
  <c r="B371" i="3"/>
  <c r="A371" i="3"/>
  <c r="E370" i="3"/>
  <c r="D370" i="3"/>
  <c r="C370" i="3"/>
  <c r="B370" i="3"/>
  <c r="A370" i="3"/>
  <c r="E369" i="3"/>
  <c r="D369" i="3"/>
  <c r="C369" i="3"/>
  <c r="B369" i="3"/>
  <c r="A369" i="3"/>
  <c r="E368" i="3"/>
  <c r="D368" i="3"/>
  <c r="C368" i="3"/>
  <c r="B368" i="3"/>
  <c r="A368" i="3"/>
  <c r="E367" i="3"/>
  <c r="D367" i="3"/>
  <c r="C367" i="3"/>
  <c r="B367" i="3"/>
  <c r="A367" i="3"/>
  <c r="E366" i="3"/>
  <c r="D366" i="3"/>
  <c r="C366" i="3"/>
  <c r="B366" i="3"/>
  <c r="A366" i="3"/>
  <c r="E365" i="3"/>
  <c r="D365" i="3"/>
  <c r="C365" i="3"/>
  <c r="B365" i="3"/>
  <c r="A365" i="3"/>
  <c r="E364" i="3"/>
  <c r="D364" i="3"/>
  <c r="C364" i="3"/>
  <c r="B364" i="3"/>
  <c r="A364" i="3"/>
  <c r="E363" i="3"/>
  <c r="D363" i="3"/>
  <c r="C363" i="3"/>
  <c r="B363" i="3"/>
  <c r="A363" i="3"/>
  <c r="E362" i="3"/>
  <c r="D362" i="3"/>
  <c r="C362" i="3"/>
  <c r="B362" i="3"/>
  <c r="A362" i="3"/>
  <c r="E361" i="3"/>
  <c r="D361" i="3"/>
  <c r="C361" i="3"/>
  <c r="B361" i="3"/>
  <c r="A361" i="3"/>
  <c r="E360" i="3"/>
  <c r="D360" i="3"/>
  <c r="C360" i="3"/>
  <c r="B360" i="3"/>
  <c r="A360" i="3"/>
  <c r="E359" i="3"/>
  <c r="D359" i="3"/>
  <c r="C359" i="3"/>
  <c r="B359" i="3"/>
  <c r="A359" i="3"/>
  <c r="E358" i="3"/>
  <c r="D358" i="3"/>
  <c r="C358" i="3"/>
  <c r="B358" i="3"/>
  <c r="A358" i="3"/>
  <c r="E357" i="3"/>
  <c r="D357" i="3"/>
  <c r="C357" i="3"/>
  <c r="B357" i="3"/>
  <c r="A357" i="3"/>
  <c r="E356" i="3"/>
  <c r="D356" i="3"/>
  <c r="C356" i="3"/>
  <c r="B356" i="3"/>
  <c r="A356" i="3"/>
  <c r="E355" i="3"/>
  <c r="D355" i="3"/>
  <c r="C355" i="3"/>
  <c r="B355" i="3"/>
  <c r="A355" i="3"/>
  <c r="E354" i="3"/>
  <c r="D354" i="3"/>
  <c r="C354" i="3"/>
  <c r="B354" i="3"/>
  <c r="A354" i="3"/>
  <c r="E353" i="3"/>
  <c r="D353" i="3"/>
  <c r="C353" i="3"/>
  <c r="B353" i="3"/>
  <c r="A353" i="3"/>
  <c r="E352" i="3"/>
  <c r="D352" i="3"/>
  <c r="C352" i="3"/>
  <c r="B352" i="3"/>
  <c r="A352" i="3"/>
  <c r="E351" i="3"/>
  <c r="D351" i="3"/>
  <c r="C351" i="3"/>
  <c r="B351" i="3"/>
  <c r="A351" i="3"/>
  <c r="E350" i="3"/>
  <c r="D350" i="3"/>
  <c r="C350" i="3"/>
  <c r="B350" i="3"/>
  <c r="A350" i="3"/>
  <c r="E349" i="3"/>
  <c r="D349" i="3"/>
  <c r="C349" i="3"/>
  <c r="B349" i="3"/>
  <c r="A349" i="3"/>
  <c r="E348" i="3"/>
  <c r="D348" i="3"/>
  <c r="C348" i="3"/>
  <c r="B348" i="3"/>
  <c r="A348" i="3"/>
  <c r="E347" i="3"/>
  <c r="D347" i="3"/>
  <c r="C347" i="3"/>
  <c r="B347" i="3"/>
  <c r="A347" i="3"/>
  <c r="E346" i="3"/>
  <c r="D346" i="3"/>
  <c r="C346" i="3"/>
  <c r="B346" i="3"/>
  <c r="A346" i="3"/>
  <c r="E345" i="3"/>
  <c r="D345" i="3"/>
  <c r="C345" i="3"/>
  <c r="B345" i="3"/>
  <c r="A345" i="3"/>
  <c r="E344" i="3"/>
  <c r="D344" i="3"/>
  <c r="C344" i="3"/>
  <c r="B344" i="3"/>
  <c r="A344" i="3"/>
  <c r="E343" i="3"/>
  <c r="D343" i="3"/>
  <c r="C343" i="3"/>
  <c r="B343" i="3"/>
  <c r="A343" i="3"/>
  <c r="E342" i="3"/>
  <c r="D342" i="3"/>
  <c r="C342" i="3"/>
  <c r="B342" i="3"/>
  <c r="A342" i="3"/>
  <c r="E341" i="3"/>
  <c r="D341" i="3"/>
  <c r="C341" i="3"/>
  <c r="B341" i="3"/>
  <c r="A341" i="3"/>
  <c r="E340" i="3"/>
  <c r="D340" i="3"/>
  <c r="C340" i="3"/>
  <c r="B340" i="3"/>
  <c r="A340" i="3"/>
  <c r="E339" i="3"/>
  <c r="D339" i="3"/>
  <c r="C339" i="3"/>
  <c r="B339" i="3"/>
  <c r="A339" i="3"/>
  <c r="E338" i="3"/>
  <c r="D338" i="3"/>
  <c r="C338" i="3"/>
  <c r="B338" i="3"/>
  <c r="A338" i="3"/>
  <c r="E337" i="3"/>
  <c r="D337" i="3"/>
  <c r="C337" i="3"/>
  <c r="B337" i="3"/>
  <c r="A337" i="3"/>
  <c r="E336" i="3"/>
  <c r="D336" i="3"/>
  <c r="C336" i="3"/>
  <c r="B336" i="3"/>
  <c r="A336" i="3"/>
  <c r="E335" i="3"/>
  <c r="D335" i="3"/>
  <c r="C335" i="3"/>
  <c r="B335" i="3"/>
  <c r="A335" i="3"/>
  <c r="E334" i="3"/>
  <c r="D334" i="3"/>
  <c r="C334" i="3"/>
  <c r="B334" i="3"/>
  <c r="A334" i="3"/>
  <c r="E333" i="3"/>
  <c r="D333" i="3"/>
  <c r="C333" i="3"/>
  <c r="B333" i="3"/>
  <c r="A333" i="3"/>
  <c r="E332" i="3"/>
  <c r="D332" i="3"/>
  <c r="C332" i="3"/>
  <c r="B332" i="3"/>
  <c r="A332" i="3"/>
  <c r="E331" i="3"/>
  <c r="D331" i="3"/>
  <c r="C331" i="3"/>
  <c r="B331" i="3"/>
  <c r="A331" i="3"/>
  <c r="E330" i="3"/>
  <c r="D330" i="3"/>
  <c r="C330" i="3"/>
  <c r="B330" i="3"/>
  <c r="A330" i="3"/>
  <c r="E329" i="3"/>
  <c r="D329" i="3"/>
  <c r="C329" i="3"/>
  <c r="B329" i="3"/>
  <c r="A329" i="3"/>
  <c r="E328" i="3"/>
  <c r="D328" i="3"/>
  <c r="C328" i="3"/>
  <c r="B328" i="3"/>
  <c r="A328" i="3"/>
  <c r="E327" i="3"/>
  <c r="D327" i="3"/>
  <c r="C327" i="3"/>
  <c r="B327" i="3"/>
  <c r="A327" i="3"/>
  <c r="E326" i="3"/>
  <c r="D326" i="3"/>
  <c r="C326" i="3"/>
  <c r="B326" i="3"/>
  <c r="A326" i="3"/>
  <c r="E325" i="3"/>
  <c r="D325" i="3"/>
  <c r="C325" i="3"/>
  <c r="B325" i="3"/>
  <c r="A325" i="3"/>
  <c r="E324" i="3"/>
  <c r="D324" i="3"/>
  <c r="C324" i="3"/>
  <c r="B324" i="3"/>
  <c r="A324" i="3"/>
  <c r="E323" i="3"/>
  <c r="D323" i="3"/>
  <c r="C323" i="3"/>
  <c r="B323" i="3"/>
  <c r="A323" i="3"/>
  <c r="E322" i="3"/>
  <c r="D322" i="3"/>
  <c r="C322" i="3"/>
  <c r="B322" i="3"/>
  <c r="A322" i="3"/>
  <c r="E321" i="3"/>
  <c r="D321" i="3"/>
  <c r="C321" i="3"/>
  <c r="B321" i="3"/>
  <c r="A321" i="3"/>
  <c r="E320" i="3"/>
  <c r="D320" i="3"/>
  <c r="C320" i="3"/>
  <c r="B320" i="3"/>
  <c r="A320" i="3"/>
  <c r="E319" i="3"/>
  <c r="D319" i="3"/>
  <c r="C319" i="3"/>
  <c r="B319" i="3"/>
  <c r="A319" i="3"/>
  <c r="E318" i="3"/>
  <c r="D318" i="3"/>
  <c r="C318" i="3"/>
  <c r="B318" i="3"/>
  <c r="A318" i="3"/>
  <c r="E317" i="3"/>
  <c r="D317" i="3"/>
  <c r="C317" i="3"/>
  <c r="B317" i="3"/>
  <c r="A317" i="3"/>
  <c r="E316" i="3"/>
  <c r="D316" i="3"/>
  <c r="C316" i="3"/>
  <c r="B316" i="3"/>
  <c r="A316" i="3"/>
  <c r="E315" i="3"/>
  <c r="D315" i="3"/>
  <c r="C315" i="3"/>
  <c r="B315" i="3"/>
  <c r="A315" i="3"/>
  <c r="E314" i="3"/>
  <c r="D314" i="3"/>
  <c r="C314" i="3"/>
  <c r="B314" i="3"/>
  <c r="A314" i="3"/>
  <c r="E313" i="3"/>
  <c r="D313" i="3"/>
  <c r="C313" i="3"/>
  <c r="B313" i="3"/>
  <c r="A313" i="3"/>
  <c r="E312" i="3"/>
  <c r="D312" i="3"/>
  <c r="C312" i="3"/>
  <c r="B312" i="3"/>
  <c r="A312" i="3"/>
  <c r="E311" i="3"/>
  <c r="D311" i="3"/>
  <c r="C311" i="3"/>
  <c r="B311" i="3"/>
  <c r="A311" i="3"/>
  <c r="E310" i="3"/>
  <c r="D310" i="3"/>
  <c r="C310" i="3"/>
  <c r="B310" i="3"/>
  <c r="A310" i="3"/>
  <c r="E309" i="3"/>
  <c r="D309" i="3"/>
  <c r="C309" i="3"/>
  <c r="B309" i="3"/>
  <c r="A309" i="3"/>
  <c r="E308" i="3"/>
  <c r="D308" i="3"/>
  <c r="C308" i="3"/>
  <c r="B308" i="3"/>
  <c r="A308" i="3"/>
  <c r="E307" i="3"/>
  <c r="D307" i="3"/>
  <c r="C307" i="3"/>
  <c r="B307" i="3"/>
  <c r="A307" i="3"/>
  <c r="E306" i="3"/>
  <c r="D306" i="3"/>
  <c r="C306" i="3"/>
  <c r="B306" i="3"/>
  <c r="A306" i="3"/>
  <c r="E305" i="3"/>
  <c r="D305" i="3"/>
  <c r="C305" i="3"/>
  <c r="B305" i="3"/>
  <c r="A305" i="3"/>
  <c r="E304" i="3"/>
  <c r="D304" i="3"/>
  <c r="C304" i="3"/>
  <c r="B304" i="3"/>
  <c r="A304" i="3"/>
  <c r="E303" i="3"/>
  <c r="D303" i="3"/>
  <c r="C303" i="3"/>
  <c r="B303" i="3"/>
  <c r="A303" i="3"/>
  <c r="E302" i="3"/>
  <c r="D302" i="3"/>
  <c r="C302" i="3"/>
  <c r="B302" i="3"/>
  <c r="A302" i="3"/>
  <c r="E301" i="3"/>
  <c r="D301" i="3"/>
  <c r="C301" i="3"/>
  <c r="B301" i="3"/>
  <c r="A301" i="3"/>
  <c r="E300" i="3"/>
  <c r="D300" i="3"/>
  <c r="C300" i="3"/>
  <c r="B300" i="3"/>
  <c r="A300" i="3"/>
  <c r="E299" i="3"/>
  <c r="D299" i="3"/>
  <c r="C299" i="3"/>
  <c r="B299" i="3"/>
  <c r="A299" i="3"/>
  <c r="E298" i="3"/>
  <c r="D298" i="3"/>
  <c r="C298" i="3"/>
  <c r="B298" i="3"/>
  <c r="A298" i="3"/>
  <c r="E297" i="3"/>
  <c r="D297" i="3"/>
  <c r="C297" i="3"/>
  <c r="B297" i="3"/>
  <c r="A297" i="3"/>
  <c r="E296" i="3"/>
  <c r="D296" i="3"/>
  <c r="C296" i="3"/>
  <c r="B296" i="3"/>
  <c r="A296" i="3"/>
  <c r="E295" i="3"/>
  <c r="D295" i="3"/>
  <c r="C295" i="3"/>
  <c r="B295" i="3"/>
  <c r="A295" i="3"/>
  <c r="E294" i="3"/>
  <c r="D294" i="3"/>
  <c r="C294" i="3"/>
  <c r="B294" i="3"/>
  <c r="A294" i="3"/>
  <c r="E293" i="3"/>
  <c r="D293" i="3"/>
  <c r="C293" i="3"/>
  <c r="B293" i="3"/>
  <c r="A293" i="3"/>
  <c r="E292" i="3"/>
  <c r="D292" i="3"/>
  <c r="C292" i="3"/>
  <c r="B292" i="3"/>
  <c r="A292" i="3"/>
  <c r="E291" i="3"/>
  <c r="D291" i="3"/>
  <c r="C291" i="3"/>
  <c r="B291" i="3"/>
  <c r="A291" i="3"/>
  <c r="E290" i="3"/>
  <c r="D290" i="3"/>
  <c r="C290" i="3"/>
  <c r="B290" i="3"/>
  <c r="A290" i="3"/>
  <c r="E289" i="3"/>
  <c r="D289" i="3"/>
  <c r="C289" i="3"/>
  <c r="B289" i="3"/>
  <c r="A289" i="3"/>
  <c r="E288" i="3"/>
  <c r="D288" i="3"/>
  <c r="C288" i="3"/>
  <c r="B288" i="3"/>
  <c r="A288" i="3"/>
  <c r="E287" i="3"/>
  <c r="D287" i="3"/>
  <c r="C287" i="3"/>
  <c r="B287" i="3"/>
  <c r="A287" i="3"/>
  <c r="E286" i="3"/>
  <c r="D286" i="3"/>
  <c r="C286" i="3"/>
  <c r="B286" i="3"/>
  <c r="A286" i="3"/>
  <c r="E285" i="3"/>
  <c r="D285" i="3"/>
  <c r="C285" i="3"/>
  <c r="B285" i="3"/>
  <c r="A285" i="3"/>
  <c r="E284" i="3"/>
  <c r="D284" i="3"/>
  <c r="C284" i="3"/>
  <c r="B284" i="3"/>
  <c r="A284" i="3"/>
  <c r="E283" i="3"/>
  <c r="D283" i="3"/>
  <c r="C283" i="3"/>
  <c r="B283" i="3"/>
  <c r="A283" i="3"/>
  <c r="E282" i="3"/>
  <c r="D282" i="3"/>
  <c r="C282" i="3"/>
  <c r="B282" i="3"/>
  <c r="A282" i="3"/>
  <c r="E281" i="3"/>
  <c r="D281" i="3"/>
  <c r="C281" i="3"/>
  <c r="B281" i="3"/>
  <c r="A281" i="3"/>
  <c r="E280" i="3"/>
  <c r="D280" i="3"/>
  <c r="C280" i="3"/>
  <c r="B280" i="3"/>
  <c r="A280" i="3"/>
  <c r="E279" i="3"/>
  <c r="D279" i="3"/>
  <c r="C279" i="3"/>
  <c r="B279" i="3"/>
  <c r="A279" i="3"/>
  <c r="E278" i="3"/>
  <c r="D278" i="3"/>
  <c r="C278" i="3"/>
  <c r="B278" i="3"/>
  <c r="A278" i="3"/>
  <c r="E277" i="3"/>
  <c r="D277" i="3"/>
  <c r="C277" i="3"/>
  <c r="B277" i="3"/>
  <c r="A277" i="3"/>
  <c r="E276" i="3"/>
  <c r="D276" i="3"/>
  <c r="C276" i="3"/>
  <c r="B276" i="3"/>
  <c r="A276" i="3"/>
  <c r="E275" i="3"/>
  <c r="D275" i="3"/>
  <c r="C275" i="3"/>
  <c r="B275" i="3"/>
  <c r="A275" i="3"/>
  <c r="E274" i="3"/>
  <c r="D274" i="3"/>
  <c r="C274" i="3"/>
  <c r="B274" i="3"/>
  <c r="A274" i="3"/>
  <c r="E273" i="3"/>
  <c r="D273" i="3"/>
  <c r="C273" i="3"/>
  <c r="B273" i="3"/>
  <c r="A273" i="3"/>
  <c r="E272" i="3"/>
  <c r="D272" i="3"/>
  <c r="C272" i="3"/>
  <c r="B272" i="3"/>
  <c r="A272" i="3"/>
  <c r="E271" i="3"/>
  <c r="D271" i="3"/>
  <c r="C271" i="3"/>
  <c r="B271" i="3"/>
  <c r="A271" i="3"/>
  <c r="E270" i="3"/>
  <c r="D270" i="3"/>
  <c r="C270" i="3"/>
  <c r="B270" i="3"/>
  <c r="A270" i="3"/>
  <c r="E269" i="3"/>
  <c r="D269" i="3"/>
  <c r="C269" i="3"/>
  <c r="B269" i="3"/>
  <c r="A269" i="3"/>
  <c r="E268" i="3"/>
  <c r="D268" i="3"/>
  <c r="C268" i="3"/>
  <c r="B268" i="3"/>
  <c r="A268" i="3"/>
  <c r="E267" i="3"/>
  <c r="D267" i="3"/>
  <c r="C267" i="3"/>
  <c r="B267" i="3"/>
  <c r="A267" i="3"/>
  <c r="E266" i="3"/>
  <c r="D266" i="3"/>
  <c r="C266" i="3"/>
  <c r="B266" i="3"/>
  <c r="A266" i="3"/>
  <c r="E265" i="3"/>
  <c r="D265" i="3"/>
  <c r="C265" i="3"/>
  <c r="B265" i="3"/>
  <c r="A265" i="3"/>
  <c r="E264" i="3"/>
  <c r="D264" i="3"/>
  <c r="C264" i="3"/>
  <c r="B264" i="3"/>
  <c r="A264" i="3"/>
  <c r="E263" i="3"/>
  <c r="D263" i="3"/>
  <c r="C263" i="3"/>
  <c r="B263" i="3"/>
  <c r="A263" i="3"/>
  <c r="E262" i="3"/>
  <c r="D262" i="3"/>
  <c r="C262" i="3"/>
  <c r="B262" i="3"/>
  <c r="A262" i="3"/>
  <c r="E261" i="3"/>
  <c r="D261" i="3"/>
  <c r="C261" i="3"/>
  <c r="B261" i="3"/>
  <c r="A261" i="3"/>
  <c r="E260" i="3"/>
  <c r="D260" i="3"/>
  <c r="C260" i="3"/>
  <c r="B260" i="3"/>
  <c r="A260" i="3"/>
  <c r="E259" i="3"/>
  <c r="D259" i="3"/>
  <c r="C259" i="3"/>
  <c r="B259" i="3"/>
  <c r="A259" i="3"/>
  <c r="E258" i="3"/>
  <c r="D258" i="3"/>
  <c r="C258" i="3"/>
  <c r="B258" i="3"/>
  <c r="A258" i="3"/>
  <c r="E257" i="3"/>
  <c r="D257" i="3"/>
  <c r="C257" i="3"/>
  <c r="B257" i="3"/>
  <c r="A257" i="3"/>
  <c r="E256" i="3"/>
  <c r="D256" i="3"/>
  <c r="C256" i="3"/>
  <c r="B256" i="3"/>
  <c r="A256" i="3"/>
  <c r="E255" i="3"/>
  <c r="D255" i="3"/>
  <c r="C255" i="3"/>
  <c r="B255" i="3"/>
  <c r="A255" i="3"/>
  <c r="E254" i="3"/>
  <c r="D254" i="3"/>
  <c r="C254" i="3"/>
  <c r="B254" i="3"/>
  <c r="A254" i="3"/>
  <c r="E253" i="3"/>
  <c r="D253" i="3"/>
  <c r="C253" i="3"/>
  <c r="B253" i="3"/>
  <c r="A253" i="3"/>
  <c r="E252" i="3"/>
  <c r="D252" i="3"/>
  <c r="C252" i="3"/>
  <c r="B252" i="3"/>
  <c r="A252" i="3"/>
  <c r="E251" i="3"/>
  <c r="D251" i="3"/>
  <c r="C251" i="3"/>
  <c r="B251" i="3"/>
  <c r="A251" i="3"/>
  <c r="E250" i="3"/>
  <c r="D250" i="3"/>
  <c r="C250" i="3"/>
  <c r="B250" i="3"/>
  <c r="A250" i="3"/>
  <c r="E249" i="3"/>
  <c r="D249" i="3"/>
  <c r="C249" i="3"/>
  <c r="B249" i="3"/>
  <c r="A249" i="3"/>
  <c r="E248" i="3"/>
  <c r="D248" i="3"/>
  <c r="C248" i="3"/>
  <c r="B248" i="3"/>
  <c r="A248" i="3"/>
  <c r="E247" i="3"/>
  <c r="D247" i="3"/>
  <c r="C247" i="3"/>
  <c r="B247" i="3"/>
  <c r="A247" i="3"/>
  <c r="E246" i="3"/>
  <c r="D246" i="3"/>
  <c r="C246" i="3"/>
  <c r="B246" i="3"/>
  <c r="A246" i="3"/>
  <c r="E245" i="3"/>
  <c r="D245" i="3"/>
  <c r="C245" i="3"/>
  <c r="B245" i="3"/>
  <c r="A245" i="3"/>
  <c r="E244" i="3"/>
  <c r="D244" i="3"/>
  <c r="C244" i="3"/>
  <c r="B244" i="3"/>
  <c r="A244" i="3"/>
  <c r="E243" i="3"/>
  <c r="D243" i="3"/>
  <c r="C243" i="3"/>
  <c r="B243" i="3"/>
  <c r="A243" i="3"/>
  <c r="E242" i="3"/>
  <c r="D242" i="3"/>
  <c r="C242" i="3"/>
  <c r="B242" i="3"/>
  <c r="A242" i="3"/>
  <c r="E241" i="3"/>
  <c r="D241" i="3"/>
  <c r="C241" i="3"/>
  <c r="B241" i="3"/>
  <c r="A241" i="3"/>
  <c r="E240" i="3"/>
  <c r="D240" i="3"/>
  <c r="C240" i="3"/>
  <c r="B240" i="3"/>
  <c r="A240" i="3"/>
  <c r="E239" i="3"/>
  <c r="D239" i="3"/>
  <c r="C239" i="3"/>
  <c r="B239" i="3"/>
  <c r="A239" i="3"/>
  <c r="E238" i="3"/>
  <c r="D238" i="3"/>
  <c r="C238" i="3"/>
  <c r="B238" i="3"/>
  <c r="A238" i="3"/>
  <c r="E237" i="3"/>
  <c r="D237" i="3"/>
  <c r="C237" i="3"/>
  <c r="B237" i="3"/>
  <c r="A237" i="3"/>
  <c r="E236" i="3"/>
  <c r="D236" i="3"/>
  <c r="C236" i="3"/>
  <c r="B236" i="3"/>
  <c r="A236" i="3"/>
  <c r="E235" i="3"/>
  <c r="D235" i="3"/>
  <c r="C235" i="3"/>
  <c r="B235" i="3"/>
  <c r="A235" i="3"/>
  <c r="E234" i="3"/>
  <c r="D234" i="3"/>
  <c r="C234" i="3"/>
  <c r="B234" i="3"/>
  <c r="A234" i="3"/>
  <c r="E233" i="3"/>
  <c r="D233" i="3"/>
  <c r="C233" i="3"/>
  <c r="B233" i="3"/>
  <c r="A233" i="3"/>
  <c r="E232" i="3"/>
  <c r="D232" i="3"/>
  <c r="C232" i="3"/>
  <c r="B232" i="3"/>
  <c r="A232" i="3"/>
  <c r="E231" i="3"/>
  <c r="D231" i="3"/>
  <c r="C231" i="3"/>
  <c r="B231" i="3"/>
  <c r="A231" i="3"/>
  <c r="E230" i="3"/>
  <c r="D230" i="3"/>
  <c r="C230" i="3"/>
  <c r="B230" i="3"/>
  <c r="A230" i="3"/>
  <c r="E229" i="3"/>
  <c r="D229" i="3"/>
  <c r="C229" i="3"/>
  <c r="B229" i="3"/>
  <c r="A229" i="3"/>
  <c r="E228" i="3"/>
  <c r="D228" i="3"/>
  <c r="C228" i="3"/>
  <c r="B228" i="3"/>
  <c r="A228" i="3"/>
  <c r="E227" i="3"/>
  <c r="D227" i="3"/>
  <c r="C227" i="3"/>
  <c r="B227" i="3"/>
  <c r="A227" i="3"/>
  <c r="E226" i="3"/>
  <c r="D226" i="3"/>
  <c r="C226" i="3"/>
  <c r="B226" i="3"/>
  <c r="A226" i="3"/>
  <c r="E225" i="3"/>
  <c r="D225" i="3"/>
  <c r="C225" i="3"/>
  <c r="B225" i="3"/>
  <c r="A225" i="3"/>
  <c r="E224" i="3"/>
  <c r="D224" i="3"/>
  <c r="C224" i="3"/>
  <c r="B224" i="3"/>
  <c r="A224" i="3"/>
  <c r="E223" i="3"/>
  <c r="D223" i="3"/>
  <c r="C223" i="3"/>
  <c r="B223" i="3"/>
  <c r="A223" i="3"/>
  <c r="E222" i="3"/>
  <c r="D222" i="3"/>
  <c r="C222" i="3"/>
  <c r="B222" i="3"/>
  <c r="A222" i="3"/>
  <c r="E221" i="3"/>
  <c r="D221" i="3"/>
  <c r="C221" i="3"/>
  <c r="B221" i="3"/>
  <c r="A221" i="3"/>
  <c r="E220" i="3"/>
  <c r="D220" i="3"/>
  <c r="C220" i="3"/>
  <c r="B220" i="3"/>
  <c r="A220" i="3"/>
  <c r="E219" i="3"/>
  <c r="D219" i="3"/>
  <c r="C219" i="3"/>
  <c r="B219" i="3"/>
  <c r="A219" i="3"/>
  <c r="E218" i="3"/>
  <c r="D218" i="3"/>
  <c r="C218" i="3"/>
  <c r="B218" i="3"/>
  <c r="A218" i="3"/>
  <c r="E217" i="3"/>
  <c r="D217" i="3"/>
  <c r="C217" i="3"/>
  <c r="B217" i="3"/>
  <c r="A217" i="3"/>
  <c r="E216" i="3"/>
  <c r="D216" i="3"/>
  <c r="C216" i="3"/>
  <c r="B216" i="3"/>
  <c r="A216" i="3"/>
  <c r="E215" i="3"/>
  <c r="D215" i="3"/>
  <c r="C215" i="3"/>
  <c r="B215" i="3"/>
  <c r="A215" i="3"/>
  <c r="E214" i="3"/>
  <c r="D214" i="3"/>
  <c r="C214" i="3"/>
  <c r="B214" i="3"/>
  <c r="A214" i="3"/>
  <c r="E213" i="3"/>
  <c r="D213" i="3"/>
  <c r="C213" i="3"/>
  <c r="B213" i="3"/>
  <c r="A213" i="3"/>
  <c r="E212" i="3"/>
  <c r="D212" i="3"/>
  <c r="C212" i="3"/>
  <c r="B212" i="3"/>
  <c r="A212" i="3"/>
  <c r="E211" i="3"/>
  <c r="D211" i="3"/>
  <c r="C211" i="3"/>
  <c r="B211" i="3"/>
  <c r="A211" i="3"/>
  <c r="E210" i="3"/>
  <c r="D210" i="3"/>
  <c r="C210" i="3"/>
  <c r="B210" i="3"/>
  <c r="A210" i="3"/>
  <c r="E209" i="3"/>
  <c r="D209" i="3"/>
  <c r="C209" i="3"/>
  <c r="B209" i="3"/>
  <c r="A209" i="3"/>
  <c r="E208" i="3"/>
  <c r="D208" i="3"/>
  <c r="C208" i="3"/>
  <c r="B208" i="3"/>
  <c r="A208" i="3"/>
  <c r="E207" i="3"/>
  <c r="D207" i="3"/>
  <c r="C207" i="3"/>
  <c r="B207" i="3"/>
  <c r="A207" i="3"/>
  <c r="E206" i="3"/>
  <c r="D206" i="3"/>
  <c r="C206" i="3"/>
  <c r="B206" i="3"/>
  <c r="A206" i="3"/>
  <c r="E205" i="3"/>
  <c r="D205" i="3"/>
  <c r="C205" i="3"/>
  <c r="B205" i="3"/>
  <c r="A205" i="3"/>
  <c r="E204" i="3"/>
  <c r="D204" i="3"/>
  <c r="C204" i="3"/>
  <c r="B204" i="3"/>
  <c r="A204" i="3"/>
  <c r="E203" i="3"/>
  <c r="D203" i="3"/>
  <c r="C203" i="3"/>
  <c r="B203" i="3"/>
  <c r="A203" i="3"/>
  <c r="E202" i="3"/>
  <c r="D202" i="3"/>
  <c r="C202" i="3"/>
  <c r="B202" i="3"/>
  <c r="A202" i="3"/>
  <c r="E201" i="3"/>
  <c r="D201" i="3"/>
  <c r="C201" i="3"/>
  <c r="B201" i="3"/>
  <c r="A201" i="3"/>
  <c r="E200" i="3"/>
  <c r="D200" i="3"/>
  <c r="C200" i="3"/>
  <c r="B200" i="3"/>
  <c r="A200" i="3"/>
  <c r="E199" i="3"/>
  <c r="D199" i="3"/>
  <c r="C199" i="3"/>
  <c r="B199" i="3"/>
  <c r="A199" i="3"/>
  <c r="E198" i="3"/>
  <c r="D198" i="3"/>
  <c r="C198" i="3"/>
  <c r="B198" i="3"/>
  <c r="A198" i="3"/>
  <c r="E197" i="3"/>
  <c r="D197" i="3"/>
  <c r="C197" i="3"/>
  <c r="B197" i="3"/>
  <c r="A197" i="3"/>
  <c r="E196" i="3"/>
  <c r="D196" i="3"/>
  <c r="C196" i="3"/>
  <c r="B196" i="3"/>
  <c r="A196" i="3"/>
  <c r="E195" i="3"/>
  <c r="D195" i="3"/>
  <c r="C195" i="3"/>
  <c r="B195" i="3"/>
  <c r="A195" i="3"/>
  <c r="E194" i="3"/>
  <c r="D194" i="3"/>
  <c r="C194" i="3"/>
  <c r="B194" i="3"/>
  <c r="A194" i="3"/>
  <c r="E193" i="3"/>
  <c r="D193" i="3"/>
  <c r="C193" i="3"/>
  <c r="B193" i="3"/>
  <c r="A193" i="3"/>
  <c r="E192" i="3"/>
  <c r="D192" i="3"/>
  <c r="C192" i="3"/>
  <c r="B192" i="3"/>
  <c r="A192" i="3"/>
  <c r="E191" i="3"/>
  <c r="D191" i="3"/>
  <c r="C191" i="3"/>
  <c r="B191" i="3"/>
  <c r="A191" i="3"/>
  <c r="E190" i="3"/>
  <c r="D190" i="3"/>
  <c r="C190" i="3"/>
  <c r="B190" i="3"/>
  <c r="A190" i="3"/>
  <c r="E189" i="3"/>
  <c r="D189" i="3"/>
  <c r="C189" i="3"/>
  <c r="B189" i="3"/>
  <c r="A189" i="3"/>
  <c r="E188" i="3"/>
  <c r="D188" i="3"/>
  <c r="C188" i="3"/>
  <c r="B188" i="3"/>
  <c r="A188" i="3"/>
  <c r="E187" i="3"/>
  <c r="D187" i="3"/>
  <c r="C187" i="3"/>
  <c r="B187" i="3"/>
  <c r="A187" i="3"/>
  <c r="E186" i="3"/>
  <c r="D186" i="3"/>
  <c r="C186" i="3"/>
  <c r="B186" i="3"/>
  <c r="A186" i="3"/>
  <c r="E185" i="3"/>
  <c r="D185" i="3"/>
  <c r="C185" i="3"/>
  <c r="B185" i="3"/>
  <c r="A185" i="3"/>
  <c r="E184" i="3"/>
  <c r="D184" i="3"/>
  <c r="C184" i="3"/>
  <c r="B184" i="3"/>
  <c r="A184" i="3"/>
  <c r="E183" i="3"/>
  <c r="D183" i="3"/>
  <c r="C183" i="3"/>
  <c r="B183" i="3"/>
  <c r="A183" i="3"/>
  <c r="E182" i="3"/>
  <c r="D182" i="3"/>
  <c r="C182" i="3"/>
  <c r="B182" i="3"/>
  <c r="A182" i="3"/>
  <c r="E181" i="3"/>
  <c r="D181" i="3"/>
  <c r="C181" i="3"/>
  <c r="B181" i="3"/>
  <c r="A181" i="3"/>
  <c r="E180" i="3"/>
  <c r="D180" i="3"/>
  <c r="C180" i="3"/>
  <c r="B180" i="3"/>
  <c r="A180" i="3"/>
  <c r="E179" i="3"/>
  <c r="D179" i="3"/>
  <c r="C179" i="3"/>
  <c r="B179" i="3"/>
  <c r="A179" i="3"/>
  <c r="E178" i="3"/>
  <c r="D178" i="3"/>
  <c r="C178" i="3"/>
  <c r="B178" i="3"/>
  <c r="A178" i="3"/>
  <c r="E177" i="3"/>
  <c r="D177" i="3"/>
  <c r="C177" i="3"/>
  <c r="B177" i="3"/>
  <c r="A177" i="3"/>
  <c r="E176" i="3"/>
  <c r="D176" i="3"/>
  <c r="C176" i="3"/>
  <c r="B176" i="3"/>
  <c r="A176" i="3"/>
  <c r="E175" i="3"/>
  <c r="D175" i="3"/>
  <c r="C175" i="3"/>
  <c r="B175" i="3"/>
  <c r="A175" i="3"/>
  <c r="E174" i="3"/>
  <c r="D174" i="3"/>
  <c r="C174" i="3"/>
  <c r="B174" i="3"/>
  <c r="A174" i="3"/>
  <c r="E173" i="3"/>
  <c r="D173" i="3"/>
  <c r="C173" i="3"/>
  <c r="B173" i="3"/>
  <c r="A173" i="3"/>
  <c r="E172" i="3"/>
  <c r="D172" i="3"/>
  <c r="C172" i="3"/>
  <c r="B172" i="3"/>
  <c r="A172" i="3"/>
  <c r="E171" i="3"/>
  <c r="D171" i="3"/>
  <c r="C171" i="3"/>
  <c r="B171" i="3"/>
  <c r="A171" i="3"/>
  <c r="E170" i="3"/>
  <c r="D170" i="3"/>
  <c r="C170" i="3"/>
  <c r="B170" i="3"/>
  <c r="A170" i="3"/>
  <c r="E169" i="3"/>
  <c r="D169" i="3"/>
  <c r="C169" i="3"/>
  <c r="B169" i="3"/>
  <c r="A169" i="3"/>
  <c r="E168" i="3"/>
  <c r="D168" i="3"/>
  <c r="C168" i="3"/>
  <c r="B168" i="3"/>
  <c r="A168" i="3"/>
  <c r="E167" i="3"/>
  <c r="D167" i="3"/>
  <c r="C167" i="3"/>
  <c r="B167" i="3"/>
  <c r="A167" i="3"/>
  <c r="E166" i="3"/>
  <c r="D166" i="3"/>
  <c r="C166" i="3"/>
  <c r="B166" i="3"/>
  <c r="A166" i="3"/>
  <c r="E165" i="3"/>
  <c r="D165" i="3"/>
  <c r="C165" i="3"/>
  <c r="B165" i="3"/>
  <c r="A165" i="3"/>
  <c r="E164" i="3"/>
  <c r="D164" i="3"/>
  <c r="C164" i="3"/>
  <c r="B164" i="3"/>
  <c r="A164" i="3"/>
  <c r="E163" i="3"/>
  <c r="D163" i="3"/>
  <c r="C163" i="3"/>
  <c r="B163" i="3"/>
  <c r="A163" i="3"/>
  <c r="E162" i="3"/>
  <c r="D162" i="3"/>
  <c r="C162" i="3"/>
  <c r="B162" i="3"/>
  <c r="A162" i="3"/>
  <c r="E161" i="3"/>
  <c r="D161" i="3"/>
  <c r="C161" i="3"/>
  <c r="B161" i="3"/>
  <c r="A161" i="3"/>
  <c r="E160" i="3"/>
  <c r="D160" i="3"/>
  <c r="C160" i="3"/>
  <c r="B160" i="3"/>
  <c r="A160" i="3"/>
  <c r="E159" i="3"/>
  <c r="D159" i="3"/>
  <c r="C159" i="3"/>
  <c r="B159" i="3"/>
  <c r="A159" i="3"/>
  <c r="E158" i="3"/>
  <c r="D158" i="3"/>
  <c r="C158" i="3"/>
  <c r="B158" i="3"/>
  <c r="A158" i="3"/>
  <c r="E157" i="3"/>
  <c r="D157" i="3"/>
  <c r="C157" i="3"/>
  <c r="B157" i="3"/>
  <c r="A157" i="3"/>
  <c r="E156" i="3"/>
  <c r="D156" i="3"/>
  <c r="C156" i="3"/>
  <c r="B156" i="3"/>
  <c r="A156" i="3"/>
  <c r="E155" i="3"/>
  <c r="D155" i="3"/>
  <c r="C155" i="3"/>
  <c r="B155" i="3"/>
  <c r="A155" i="3"/>
  <c r="E154" i="3"/>
  <c r="D154" i="3"/>
  <c r="C154" i="3"/>
  <c r="B154" i="3"/>
  <c r="A154" i="3"/>
  <c r="E153" i="3"/>
  <c r="D153" i="3"/>
  <c r="C153" i="3"/>
  <c r="B153" i="3"/>
  <c r="A153" i="3"/>
  <c r="E152" i="3"/>
  <c r="D152" i="3"/>
  <c r="C152" i="3"/>
  <c r="B152" i="3"/>
  <c r="A152" i="3"/>
  <c r="E151" i="3"/>
  <c r="D151" i="3"/>
  <c r="C151" i="3"/>
  <c r="B151" i="3"/>
  <c r="A151" i="3"/>
  <c r="E150" i="3"/>
  <c r="D150" i="3"/>
  <c r="C150" i="3"/>
  <c r="B150" i="3"/>
  <c r="A150" i="3"/>
  <c r="E149" i="3"/>
  <c r="D149" i="3"/>
  <c r="C149" i="3"/>
  <c r="B149" i="3"/>
  <c r="A149" i="3"/>
  <c r="E148" i="3"/>
  <c r="D148" i="3"/>
  <c r="C148" i="3"/>
  <c r="B148" i="3"/>
  <c r="A148" i="3"/>
  <c r="E147" i="3"/>
  <c r="D147" i="3"/>
  <c r="C147" i="3"/>
  <c r="B147" i="3"/>
  <c r="A147" i="3"/>
  <c r="E146" i="3"/>
  <c r="D146" i="3"/>
  <c r="C146" i="3"/>
  <c r="B146" i="3"/>
  <c r="A146" i="3"/>
  <c r="E145" i="3"/>
  <c r="D145" i="3"/>
  <c r="C145" i="3"/>
  <c r="B145" i="3"/>
  <c r="A145" i="3"/>
  <c r="E144" i="3"/>
  <c r="D144" i="3"/>
  <c r="C144" i="3"/>
  <c r="B144" i="3"/>
  <c r="A144" i="3"/>
  <c r="E143" i="3"/>
  <c r="D143" i="3"/>
  <c r="C143" i="3"/>
  <c r="B143" i="3"/>
  <c r="A143" i="3"/>
  <c r="E142" i="3"/>
  <c r="D142" i="3"/>
  <c r="C142" i="3"/>
  <c r="B142" i="3"/>
  <c r="A142" i="3"/>
  <c r="E141" i="3"/>
  <c r="D141" i="3"/>
  <c r="C141" i="3"/>
  <c r="B141" i="3"/>
  <c r="A141" i="3"/>
  <c r="E140" i="3"/>
  <c r="D140" i="3"/>
  <c r="C140" i="3"/>
  <c r="B140" i="3"/>
  <c r="A140" i="3"/>
  <c r="E139" i="3"/>
  <c r="D139" i="3"/>
  <c r="C139" i="3"/>
  <c r="B139" i="3"/>
  <c r="A139" i="3"/>
  <c r="E138" i="3"/>
  <c r="D138" i="3"/>
  <c r="C138" i="3"/>
  <c r="B138" i="3"/>
  <c r="A138" i="3"/>
  <c r="E137" i="3"/>
  <c r="D137" i="3"/>
  <c r="C137" i="3"/>
  <c r="B137" i="3"/>
  <c r="A137" i="3"/>
  <c r="E136" i="3"/>
  <c r="D136" i="3"/>
  <c r="C136" i="3"/>
  <c r="B136" i="3"/>
  <c r="A136" i="3"/>
  <c r="E135" i="3"/>
  <c r="D135" i="3"/>
  <c r="C135" i="3"/>
  <c r="B135" i="3"/>
  <c r="A135" i="3"/>
  <c r="E134" i="3"/>
  <c r="D134" i="3"/>
  <c r="C134" i="3"/>
  <c r="B134" i="3"/>
  <c r="A134" i="3"/>
  <c r="E133" i="3"/>
  <c r="D133" i="3"/>
  <c r="C133" i="3"/>
  <c r="B133" i="3"/>
  <c r="A133" i="3"/>
  <c r="E132" i="3"/>
  <c r="D132" i="3"/>
  <c r="C132" i="3"/>
  <c r="B132" i="3"/>
  <c r="A132" i="3"/>
  <c r="E131" i="3"/>
  <c r="D131" i="3"/>
  <c r="C131" i="3"/>
  <c r="B131" i="3"/>
  <c r="A131" i="3"/>
  <c r="E130" i="3"/>
  <c r="D130" i="3"/>
  <c r="C130" i="3"/>
  <c r="B130" i="3"/>
  <c r="A130" i="3"/>
  <c r="E129" i="3"/>
  <c r="D129" i="3"/>
  <c r="C129" i="3"/>
  <c r="B129" i="3"/>
  <c r="A129" i="3"/>
  <c r="E128" i="3"/>
  <c r="D128" i="3"/>
  <c r="C128" i="3"/>
  <c r="B128" i="3"/>
  <c r="A128" i="3"/>
  <c r="E127" i="3"/>
  <c r="D127" i="3"/>
  <c r="C127" i="3"/>
  <c r="B127" i="3"/>
  <c r="A127" i="3"/>
  <c r="E126" i="3"/>
  <c r="D126" i="3"/>
  <c r="C126" i="3"/>
  <c r="B126" i="3"/>
  <c r="A126" i="3"/>
  <c r="E125" i="3"/>
  <c r="D125" i="3"/>
  <c r="C125" i="3"/>
  <c r="B125" i="3"/>
  <c r="A125" i="3"/>
  <c r="E124" i="3"/>
  <c r="D124" i="3"/>
  <c r="C124" i="3"/>
  <c r="B124" i="3"/>
  <c r="A124" i="3"/>
  <c r="E123" i="3"/>
  <c r="D123" i="3"/>
  <c r="C123" i="3"/>
  <c r="B123" i="3"/>
  <c r="A123" i="3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B117" i="3"/>
  <c r="A117" i="3"/>
  <c r="E116" i="3"/>
  <c r="D116" i="3"/>
  <c r="C116" i="3"/>
  <c r="B116" i="3"/>
  <c r="A116" i="3"/>
  <c r="E115" i="3"/>
  <c r="D115" i="3"/>
  <c r="C115" i="3"/>
  <c r="B115" i="3"/>
  <c r="A115" i="3"/>
  <c r="E114" i="3"/>
  <c r="D114" i="3"/>
  <c r="C114" i="3"/>
  <c r="B114" i="3"/>
  <c r="A114" i="3"/>
  <c r="E113" i="3"/>
  <c r="D113" i="3"/>
  <c r="C113" i="3"/>
  <c r="B113" i="3"/>
  <c r="A113" i="3"/>
  <c r="E112" i="3"/>
  <c r="D112" i="3"/>
  <c r="C112" i="3"/>
  <c r="B112" i="3"/>
  <c r="A112" i="3"/>
  <c r="E111" i="3"/>
  <c r="D111" i="3"/>
  <c r="C111" i="3"/>
  <c r="B111" i="3"/>
  <c r="A111" i="3"/>
  <c r="E110" i="3"/>
  <c r="D110" i="3"/>
  <c r="C110" i="3"/>
  <c r="B110" i="3"/>
  <c r="A110" i="3"/>
  <c r="E109" i="3"/>
  <c r="D109" i="3"/>
  <c r="C109" i="3"/>
  <c r="B109" i="3"/>
  <c r="A109" i="3"/>
  <c r="E108" i="3"/>
  <c r="D108" i="3"/>
  <c r="C108" i="3"/>
  <c r="B108" i="3"/>
  <c r="A108" i="3"/>
  <c r="E107" i="3"/>
  <c r="D107" i="3"/>
  <c r="C107" i="3"/>
  <c r="B107" i="3"/>
  <c r="A107" i="3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B2" i="3"/>
  <c r="A2" i="3"/>
  <c r="K1" i="2"/>
  <c r="I1" i="2"/>
  <c r="E1" i="2"/>
  <c r="D1" i="2"/>
  <c r="C1" i="2"/>
  <c r="B1" i="2"/>
</calcChain>
</file>

<file path=xl/sharedStrings.xml><?xml version="1.0" encoding="utf-8"?>
<sst xmlns="http://schemas.openxmlformats.org/spreadsheetml/2006/main" count="4444" uniqueCount="2205">
  <si>
    <t>Nº EXP.</t>
  </si>
  <si>
    <t>DÍA</t>
  </si>
  <si>
    <t>HORA</t>
  </si>
  <si>
    <t>TRABAJADOR/A</t>
  </si>
  <si>
    <t>EMPRESAS</t>
  </si>
  <si>
    <t>MOTIVOS</t>
  </si>
  <si>
    <t>EDAD</t>
  </si>
  <si>
    <t>Nº T.</t>
  </si>
  <si>
    <t>ANTG. EMPRE</t>
  </si>
  <si>
    <t>A</t>
  </si>
  <si>
    <t>Ñ</t>
  </si>
  <si>
    <t>O</t>
  </si>
  <si>
    <t>NOUR EDDINE MOHAMED MOHAMEDI</t>
  </si>
  <si>
    <t>HALIMA BUCHNACHI EL MESSAOUDI “PIZZERÍA LA ESPIGUERA”</t>
  </si>
  <si>
    <t>CANTIDAD Y RESOLUCIÓN DE CONTRATO A INSTANCIAS DEL TRABAJADOR</t>
  </si>
  <si>
    <t>OHL SERVICIOS INGESAN, S.A.</t>
  </si>
  <si>
    <t>ANA VICTORIA SCHILLER PIZANA</t>
  </si>
  <si>
    <t xml:space="preserve">CANTIDAD </t>
  </si>
  <si>
    <t>JACOBO RUIZ CORREA</t>
  </si>
  <si>
    <t>S.A.</t>
  </si>
  <si>
    <t>CANTIDAD</t>
  </si>
  <si>
    <t>MIMOUN EL  FEKRI</t>
  </si>
  <si>
    <t>MILADE, S.L.</t>
  </si>
  <si>
    <t>ILHAM AHMED MOHAMED</t>
  </si>
  <si>
    <t>LIWE ESPAÑOLA, S.A.</t>
  </si>
  <si>
    <t>DESPIDO Y CANTIDAD</t>
  </si>
  <si>
    <t>ABDELLAH HAMMOUTI</t>
  </si>
  <si>
    <t>REFORMAS Y PROYECTOS COYSE MELILLA, S.L.</t>
  </si>
  <si>
    <t>MALIKA HAMMU MOHAND</t>
  </si>
  <si>
    <t>TALHER, S.A.</t>
  </si>
  <si>
    <t>DERECHO Y CANTIDAD</t>
  </si>
  <si>
    <t>NURIA CARRETERO AVELINO</t>
  </si>
  <si>
    <t>MARÍA DEL CARMEN PALACIOS COBO</t>
  </si>
  <si>
    <t>JAMAL ROUCHDI</t>
  </si>
  <si>
    <t>MOHAMED HADDOUCHI</t>
  </si>
  <si>
    <t>TIJANI ZAHAF</t>
  </si>
  <si>
    <t>MAIR SADIA RUAS BELITY Y ALMIRU SL</t>
  </si>
  <si>
    <t>ALI KASSEN AL LAL</t>
  </si>
  <si>
    <t>VALORIZA SERVICIOS MEDIOAMBIENTALES</t>
  </si>
  <si>
    <t>IMPUGNACIÓN SANCIÓN</t>
  </si>
  <si>
    <t>LLAMAL EL IDRISSI MOHAMED</t>
  </si>
  <si>
    <t>PROSEGUR SOLUCIONES INTEGRALES SEGURIDAD ESPAÑA SL</t>
  </si>
  <si>
    <t>DESPIDO NULO</t>
  </si>
  <si>
    <t>ABDALES YAHYA</t>
  </si>
  <si>
    <t>NAOUAL AHLLAL YOUSEF</t>
  </si>
  <si>
    <t>SUMISA ABDELAZIZ MIMON</t>
  </si>
  <si>
    <t>M.ª DEL CARMEN RAMOS MEDINA (FARMACIA MODERNA)</t>
  </si>
  <si>
    <t>RESOLUCIÓN DEL CONTRATO ART. 50 VULNERACION DDFF</t>
  </si>
  <si>
    <t>SAMIR EL HOUARI AMADMAD</t>
  </si>
  <si>
    <t>ALEJANDRO RUBIO ANTÓN</t>
  </si>
  <si>
    <t>MODIFICACIONES SUSTANCIALES DE CONDICIONES DE TRABAJO</t>
  </si>
  <si>
    <t>SAMIR AMJAHAD TAHIRI</t>
  </si>
  <si>
    <t>BOUCHRA BAZA</t>
  </si>
  <si>
    <t>FRANCISCO AGUILERA FERNANDEZ</t>
  </si>
  <si>
    <t>SURESTE SEGURIDAD S.L. Y EULEN S.A</t>
  </si>
  <si>
    <t>RECONOCIMIENTO DERECHO</t>
  </si>
  <si>
    <t>YIHAM DRISS AMAR</t>
  </si>
  <si>
    <t>EULEN SA Y CELCE SA</t>
  </si>
  <si>
    <t>RECONOCIMIENTO CONDICION DE TRABAJO INDEFINIDO</t>
  </si>
  <si>
    <t xml:space="preserve"> </t>
  </si>
  <si>
    <t>ISLAM OUASS HADI</t>
  </si>
  <si>
    <t>AMINA MOHAMED HASSAN</t>
  </si>
  <si>
    <t>RACHID HAMED MOHAMED</t>
  </si>
  <si>
    <t>RECONOCIMIENTO DE DERECHO</t>
  </si>
  <si>
    <t>ABDELLAH BENKOULLA AMHAROC</t>
  </si>
  <si>
    <t>VALORIZA SERVICIOS MEDIOAMBIENTALES SA</t>
  </si>
  <si>
    <t>RECONOCIMIENTO DE DERECHO Y CANTIDAD</t>
  </si>
  <si>
    <t>MODIFICACION SUSTANCIAL DE LAS CONDICIONES DE TRABAJO</t>
  </si>
  <si>
    <t>ABDLHUAHED AL LAL MOHAND</t>
  </si>
  <si>
    <t>FARAH BOUDAHOUY MOH</t>
  </si>
  <si>
    <t>ESGAMING, S.A.U.</t>
  </si>
  <si>
    <t>DESPIDO IMPROCEDENTE</t>
  </si>
  <si>
    <t>YAMINA BUCHMAA AHMED</t>
  </si>
  <si>
    <t>MADE FOR SUCCESS, S.L.</t>
  </si>
  <si>
    <t>HAFFOUDI EL HACHMIA</t>
  </si>
  <si>
    <t>NIEVES SANTIAGO SANTIAGO</t>
  </si>
  <si>
    <t>AMINA TAHIRI BENYAZZA</t>
  </si>
  <si>
    <t>JOSÉ ANTONIO ROMERO CARMONA</t>
  </si>
  <si>
    <t>MIMOUN EL FECKRI</t>
  </si>
  <si>
    <t>RESOLUCIÓN DE CONTRATO Y CANTIDAD</t>
  </si>
  <si>
    <t>KARIM HAMOUTI SEDDIKI</t>
  </si>
  <si>
    <t>ABDELILAD SATTAAH</t>
  </si>
  <si>
    <t>NAIMA HAMU BOASA</t>
  </si>
  <si>
    <t>JOSÉ LUIS GONZÁLEZ FUENTES</t>
  </si>
  <si>
    <t>MANTENIMIENTOS TERRESTRES, S.L.</t>
  </si>
  <si>
    <t>ÁNGELES CONDE OLIVER</t>
  </si>
  <si>
    <t>HAFFOUDI EL HACHNIA</t>
  </si>
  <si>
    <t>ABDELKARIM TAOUIL</t>
  </si>
  <si>
    <t>DERECHO</t>
  </si>
  <si>
    <t>NADIA EL KASMI</t>
  </si>
  <si>
    <t>DESPIDO</t>
  </si>
  <si>
    <t>MARÍA SAMBU EL BARRAQ</t>
  </si>
  <si>
    <t>JOSÉ MARÍA ESTRUCH LAHSAINI</t>
  </si>
  <si>
    <t>SANDRA GUEVARA MARQUEZ</t>
  </si>
  <si>
    <t>RENVERSE SLU</t>
  </si>
  <si>
    <t>ICRAM MOHAMED ABDELKADER</t>
  </si>
  <si>
    <t>LAILA AL-LAL AMAR “PREGO DECORACIÓN”</t>
  </si>
  <si>
    <t>ABDEL BIL MOHAND ABDEL LA</t>
  </si>
  <si>
    <t>FDS MELILLA, S.L.</t>
  </si>
  <si>
    <t>ISAM SALIM MOJZI</t>
  </si>
  <si>
    <t>RENVERSE, S.L.</t>
  </si>
  <si>
    <t>JOSÉ MANUEL ÁLVAREZ GRANADOS</t>
  </si>
  <si>
    <t>SURESTE SEGURIDAD, S.L.</t>
  </si>
  <si>
    <t>TIJANI AZAHAF</t>
  </si>
  <si>
    <t>UNIÓN DEPORTIVA MELILLA</t>
  </si>
  <si>
    <t>JON CEBEIRO MUTUBERRIA</t>
  </si>
  <si>
    <t>ABDESSLAM LATRACH</t>
  </si>
  <si>
    <t>VALORIZA SERVICIOS MEDIOAMBIENTALES Y UTE URBASER, S.A. Y FOMENTO CONSTRUCCIONES Y CONTRATAS</t>
  </si>
  <si>
    <t>PEDRO ORTIZ MARTÍNEZ</t>
  </si>
  <si>
    <t>MOHAMED LAARBI MOHAMED</t>
  </si>
  <si>
    <t>MOHAMED MOHAND MOHAMED</t>
  </si>
  <si>
    <t>MOHAMED ZANNA MOHAMED</t>
  </si>
  <si>
    <t>ALBERTO GUTIÉRREZ KASEN</t>
  </si>
  <si>
    <t>JAKIN AHMED MIMUN</t>
  </si>
  <si>
    <t>NEZHA EL GUASSAA</t>
  </si>
  <si>
    <t>DRYCOLD GOOD, S.L. Y JOSÉ BENAIM ASERRAF</t>
  </si>
  <si>
    <t>69 bis</t>
  </si>
  <si>
    <t>SAID TOURICH</t>
  </si>
  <si>
    <t>VALORIZA SERVICIOS MEDIOAMBIENTALES, S.A.</t>
  </si>
  <si>
    <t>MHAMED EL OUARIACHI AMAKHTARI</t>
  </si>
  <si>
    <t>ABDELHAKIM AL BANYAHYATI ZARIOH</t>
  </si>
  <si>
    <t>KARIM MUSTAFA MIZZIAN</t>
  </si>
  <si>
    <t>FATIMA MATICHE LAHCEN, KARIMA BAGDAD MOHAMED, LUISA HAMETE BENZAR Y SALHA AHMED MOHAMED</t>
  </si>
  <si>
    <t>ABDELHUAHED AL LAL MOHAND</t>
  </si>
  <si>
    <t>ABDESLAM ABDESLAM SAIDI</t>
  </si>
  <si>
    <t>HAMZA SANHJI</t>
  </si>
  <si>
    <t>DUNIA HAMED BUMEDIEN</t>
  </si>
  <si>
    <t>FAUZI AMARUCH MOHAMEDI</t>
  </si>
  <si>
    <t>IMPUGNACIÓN MODIFICACIÓN SUSTANCIAL DE LAS CONDICIONES DE TRABAJO Y CANTIDAD</t>
  </si>
  <si>
    <t>ENRIQUE RIVAS VILLATORO</t>
  </si>
  <si>
    <t>EXTINCIÓN DE LA RELACIÓN LABORAL (ART. 50)</t>
  </si>
  <si>
    <t>HAMID ABDELKADER MOHAMED</t>
  </si>
  <si>
    <t>INTBUILDER SEMA CONSTRUCCIÓN, S.L.</t>
  </si>
  <si>
    <t>JOSÉ DAVID FERNÁNDEZ CORNEJO</t>
  </si>
  <si>
    <t>EL MOSTAPHA BAHRI LAMKADDAM</t>
  </si>
  <si>
    <t>ALI BOUALALA YAKHLEF</t>
  </si>
  <si>
    <t>DORANJO, S.L.U.</t>
  </si>
  <si>
    <t>RACHIB EL AMMOURI</t>
  </si>
  <si>
    <t>GERCAR CONSTRUCCIONES Y REFORMAS</t>
  </si>
  <si>
    <t>SAMIR AZDI AHMED</t>
  </si>
  <si>
    <t>MARIANO REMARTÍNEZ BUERA</t>
  </si>
  <si>
    <t>RECLAMACIÓN DE PRESTACIONES DE IT DERIVADA DE ACCIDENTE DE TRABAJO</t>
  </si>
  <si>
    <t>YAMILA MOHATAR MOH</t>
  </si>
  <si>
    <t>COMERCIAL ESPAÑOLA DE RECAMBIOS Y AUTOMÓVILES, S.A. Y CERAS, S.L.</t>
  </si>
  <si>
    <t>USAMA EL KAYCHOUHI BENSIALI</t>
  </si>
  <si>
    <t>JM FONTANEROS MELILLA, S.L.</t>
  </si>
  <si>
    <t>MHAMED ZARIOUHI</t>
  </si>
  <si>
    <t>CANALIZACIONES Y CENTROS MELILLA, S.L. (CAYCEMEL)</t>
  </si>
  <si>
    <t>DESPIDO Y RECLAMACIÓN DE CANTIDAD</t>
  </si>
  <si>
    <t>SORAIDA MOHAMED FATMI</t>
  </si>
  <si>
    <t>RUSADIR MEDIA, S.L.</t>
  </si>
  <si>
    <t>IMPUGNACIÓN DE DESPIDO Y RECLAMACIÓN DE CANTIDAD</t>
  </si>
  <si>
    <t>JOSÉ MARÍA MORALES MORENO</t>
  </si>
  <si>
    <t>SOLEDAD MARTÍNEZ RODRÍGUEZ</t>
  </si>
  <si>
    <t>ABDESELAM MOHAMED MIMUN</t>
  </si>
  <si>
    <t>CANTIDAD Y DERECHO</t>
  </si>
  <si>
    <r>
      <rPr>
        <sz val="10"/>
        <rFont val="Arial"/>
        <family val="2"/>
        <charset val="1"/>
      </rPr>
      <t xml:space="preserve">MALIKA ZIZAOUI </t>
    </r>
    <r>
      <rPr>
        <b/>
        <sz val="12"/>
        <color rgb="FFC9211E"/>
        <rFont val="Arial"/>
        <family val="2"/>
        <charset val="1"/>
      </rPr>
      <t>(DESISTIMIENTO)</t>
    </r>
  </si>
  <si>
    <t>SUPERNOVA ASISTENCIAS, S.L.U. Y CLECE, S.A.</t>
  </si>
  <si>
    <t>RECONOCIMIENTO DE DERECHOS</t>
  </si>
  <si>
    <t>JUAN GÁLVEZ ROMERO</t>
  </si>
  <si>
    <t>YASIM BETANCORT EMBARK</t>
  </si>
  <si>
    <t>MILUD BENNASAR BELAID</t>
  </si>
  <si>
    <t>JOSUÉ FERNÁNDEZ SANTIAGO</t>
  </si>
  <si>
    <t>LOUIZA LAHFA EL KAHLAOUI</t>
  </si>
  <si>
    <t>LA COMPAÑÍA MINAS DEL RIF, S.L.</t>
  </si>
  <si>
    <t>MOHAMED ABDESLAM MOHAMED</t>
  </si>
  <si>
    <t>TYCO INTEGRATED</t>
  </si>
  <si>
    <t>VERÓNICA TOVAR PÉREZ</t>
  </si>
  <si>
    <t>MOHAMED SEBTI EL AIACHI</t>
  </si>
  <si>
    <t>ARQUISOCIAL, S.L.</t>
  </si>
  <si>
    <t xml:space="preserve">DERECHOS </t>
  </si>
  <si>
    <t>CC1/2022</t>
  </si>
  <si>
    <r>
      <rPr>
        <sz val="10"/>
        <color rgb="FFC9211E"/>
        <rFont val="Arial"/>
        <family val="2"/>
        <charset val="1"/>
      </rPr>
      <t xml:space="preserve">UGT MELILLA </t>
    </r>
    <r>
      <rPr>
        <b/>
        <sz val="10"/>
        <color rgb="FFC9211E"/>
        <rFont val="Arial"/>
        <family val="2"/>
        <charset val="1"/>
      </rPr>
      <t>(</t>
    </r>
    <r>
      <rPr>
        <b/>
        <sz val="12"/>
        <color rgb="FFC9211E"/>
        <rFont val="Arial"/>
        <family val="2"/>
        <charset val="1"/>
      </rPr>
      <t>DESISTIDO 17/02/2022)</t>
    </r>
  </si>
  <si>
    <t>AMBULANCIAS TENORIO E HIJOS, S.L.</t>
  </si>
  <si>
    <t>DERECHO ABONO CANTIDADES ADEUDADAS TERCERA PAGA EXTRA Y PLUS DE RESIDENCIA</t>
  </si>
  <si>
    <t>BORJA ARANA VEGA</t>
  </si>
  <si>
    <t>PEDRO ARANA COBREROS</t>
  </si>
  <si>
    <t>MANTENIMIENOS TERRESTRES, S.L.</t>
  </si>
  <si>
    <t xml:space="preserve">DRISS ARRAISS </t>
  </si>
  <si>
    <t>MARÍA JESÚS MILLÁN CEREÑO Y JESÚS BATALLA POO</t>
  </si>
  <si>
    <t>RESOLUCIÓN DE CONTRATO A INSTANCIA DEL TRABAJADOR</t>
  </si>
  <si>
    <t>FARID AMAR MOHAMED</t>
  </si>
  <si>
    <t>DERECHO A JORNADA A TIEMPO COMPLETO Y VULNERACIÓN DE DERECHOS FUNDAMENTALES</t>
  </si>
  <si>
    <t>LOURDES GAONA GONZÁLEZ</t>
  </si>
  <si>
    <t>FUNDACIÓN DIAGRAMA INTERVENCIÓN PSICOSOCIAL</t>
  </si>
  <si>
    <t>JUAN ANTONIO ALCÁZAR HERNÁNDEZ</t>
  </si>
  <si>
    <t>TRAGSA SA EMPRESA TRANSFORMACIÓN AGRARIA</t>
  </si>
  <si>
    <t>MOHAMED EL BASRI</t>
  </si>
  <si>
    <t>HOSSAIN AL LAL MAHMUD (CAFETERÍA LA TOJA)</t>
  </si>
  <si>
    <t>HADRIEL MEHAMED GONZÁLEZ</t>
  </si>
  <si>
    <t>AZEINE BENAAMAR</t>
  </si>
  <si>
    <t>TUFIK MOHAMED MOHAMEDI</t>
  </si>
  <si>
    <t>DESPIDO IMPROCEDENTE Y RECLAMACIÓN DE CANTIDAD</t>
  </si>
  <si>
    <t>MOHAMED GJRIJOU LAKMARI</t>
  </si>
  <si>
    <t>DESPIDO, CANTIDAD Y DERECHOS</t>
  </si>
  <si>
    <t>JAMAL EL ALAMI</t>
  </si>
  <si>
    <t>MOHAMED TOUTOUH EL ALAMI</t>
  </si>
  <si>
    <t>EBRAHIM HAMED BENAISA</t>
  </si>
  <si>
    <t>MULTIMOTOR AFRICA, S.L.</t>
  </si>
  <si>
    <t>RECLAMACIÓN CANTIDAD CONCEPTO PRESTACIÓN POR IT</t>
  </si>
  <si>
    <t>MUSTAFA MOHAMEDI AL LAL</t>
  </si>
  <si>
    <t>MARÍA NIEVES CALVO EMBAREK</t>
  </si>
  <si>
    <t>MARÍA MORENCOS MORÁN</t>
  </si>
  <si>
    <t>ABIOLAH BACHIR  EL HARRAOUI</t>
  </si>
  <si>
    <t>MOHAMED MIMON ABDELLAH</t>
  </si>
  <si>
    <t>CLASIFICACIÓN PROFESIONAL Y CANTIDAD</t>
  </si>
  <si>
    <t>ABIOLAH BACHIR EL HARROUI</t>
  </si>
  <si>
    <t>CLASIFICACION PROFESIONAL Y CANTIDAD</t>
  </si>
  <si>
    <t>123bis</t>
  </si>
  <si>
    <t>HASSAN KASSEN AL LAL</t>
  </si>
  <si>
    <t>KARIM ABDESLAM MOHAND</t>
  </si>
  <si>
    <t>AFLE, S.L.</t>
  </si>
  <si>
    <t>DESPIDO IMPROCEDENTE E INDEMNIZACIÓN DE DAÑOS Y PERJUICIOS</t>
  </si>
  <si>
    <t>DERECHO A LA REINCORPORACIÓN Y RECLAMACIÓN DE CANTIDAD</t>
  </si>
  <si>
    <t>MILUD AL-LUCHS MUSTAFA</t>
  </si>
  <si>
    <t>IMPUGNACIÓN DE SANCIÓN DISCIPLINARIA</t>
  </si>
  <si>
    <t>MANUEL AMADOR JIMÉNEZ</t>
  </si>
  <si>
    <t>ESTACIONES Y TERMINALES MARÍTIMAS, S.L.</t>
  </si>
  <si>
    <t>NADIA GUTIÉRREZ KASEM</t>
  </si>
  <si>
    <t>NISRIM ALLAL HAMED</t>
  </si>
  <si>
    <t>FERRONOL SERVICIO INTEGRAL DE PRECISIÓN, S.L.</t>
  </si>
  <si>
    <t>RACHID EL AMMOURI</t>
  </si>
  <si>
    <t>MUSTAPHA ABDELKADER LAARBI</t>
  </si>
  <si>
    <t>SERVICIOS ELÉCTRICOS Y AUDIOVISUALES MELILLA, S.L. (SEAMEL)</t>
  </si>
  <si>
    <t>DESPIDO SUBSIDIARIAMENTE IMPROCEDENTE</t>
  </si>
  <si>
    <t>HAMID MHAMED BENNASER</t>
  </si>
  <si>
    <t>EULEN S.A.</t>
  </si>
  <si>
    <t>MOHAMED MOHAMED ANAFI</t>
  </si>
  <si>
    <t>DRIS MOHAMED AHMED</t>
  </si>
  <si>
    <t>WHASIMA MUSTAFA MUSTAFA</t>
  </si>
  <si>
    <t xml:space="preserve">TODOAGUAS SC </t>
  </si>
  <si>
    <t>AHMED MOUMNI EL AMRATI</t>
  </si>
  <si>
    <t xml:space="preserve">EULEN SA </t>
  </si>
  <si>
    <t>CARMEN MARTINEZ VAZQUEZ</t>
  </si>
  <si>
    <t>MOHAMED TAHIRI EL KALHAOUI</t>
  </si>
  <si>
    <t>MELILLA PUERTO SA</t>
  </si>
  <si>
    <t>SANCION</t>
  </si>
  <si>
    <t>MANUEL GONZALEZ LOPEZ</t>
  </si>
  <si>
    <t>CARMELO MARTINEZ RODRIGUEZ</t>
  </si>
  <si>
    <t>JONATAN FERNÁNDEZ SANTIAGO</t>
  </si>
  <si>
    <t>IGNACIA FERRERAS, S.A., JUAN IGNACIO RUBÍ FERRERAS Y ANA RUBÍ FERRERAS</t>
  </si>
  <si>
    <t>DERECHO, CLASIFICACIÓN PROFESIONAL, RECLAMACIÓN SALARIAL, RESOLUCIÓN CONTRATO DE TRABAJO Y ACOSO LABORAL</t>
  </si>
  <si>
    <t>MANUEL JESUS PEREZ RAMOS</t>
  </si>
  <si>
    <t>TRWES FORCAS DIGITAL SLU Y TRES FORCAS TELEVISION SL</t>
  </si>
  <si>
    <t>MARÍA DEL CARMEN GONZÁLEZ BARRIUSO</t>
  </si>
  <si>
    <t>MELILLA TUR, S.A.</t>
  </si>
  <si>
    <t>RECLAMACIÓN SALARIAL</t>
  </si>
  <si>
    <t>ABDERRAHIM ATRARI BOUAJAJ</t>
  </si>
  <si>
    <t>IBRAHIM EL BALI</t>
  </si>
  <si>
    <t>MOHAMED BOUHLASS</t>
  </si>
  <si>
    <t xml:space="preserve">MALIKA ZIZAOUI </t>
  </si>
  <si>
    <t>MIGUEL CASTRO HERNÁNDEZ</t>
  </si>
  <si>
    <t>RAFAEL FRANCISCO MÉDICIS GARRIDO</t>
  </si>
  <si>
    <t>RAQUEL FERRÓN MORENO</t>
  </si>
  <si>
    <t>IMPUGNACIÓN DE SANCIÓN</t>
  </si>
  <si>
    <t>MODIFICACIÓN SUSTANCIAL CONDICIONES DE TRABAJO CON VULNERACIÓN DE DERECHOS FUNDAMENTALES</t>
  </si>
  <si>
    <t>YOUSSEF EL HEJRI</t>
  </si>
  <si>
    <t>AMAR ROTBI KARKOUR</t>
  </si>
  <si>
    <t>JOAQUÍN MUÑOZ MARTÍN</t>
  </si>
  <si>
    <t>VIGCAN SEGURIDAD, S.L.</t>
  </si>
  <si>
    <t>SAID MOHAMED MOHAMED</t>
  </si>
  <si>
    <t>TARIK SBAAI EL MADANI</t>
  </si>
  <si>
    <t>MIMOUN EL FOUNTI ECHAMLALI</t>
  </si>
  <si>
    <t>MIMUNT MOHAND ABDELLAH</t>
  </si>
  <si>
    <t>JUAN MANUEL ROSSO MARTÍNEZ</t>
  </si>
  <si>
    <t>EDUARDO ORTEGA ABRIL</t>
  </si>
  <si>
    <t>NAVIL AL LAL LAHADIL</t>
  </si>
  <si>
    <t>JUAN CARLOS FERNÁNDEZ MORALES</t>
  </si>
  <si>
    <t>SURESTE SEGURIDAD S.L.</t>
  </si>
  <si>
    <t>MIGUEL ÁNGEL BONILLO VIUDEZ</t>
  </si>
  <si>
    <t>NORDIN MIZZIAN BOUARFA</t>
  </si>
  <si>
    <t>FRANCISCO JOSÉ AGUILERA FERNÁNDEZ</t>
  </si>
  <si>
    <t>MARÍA CONSOLACIÓN VILLANOVA FAUS</t>
  </si>
  <si>
    <t>SAMIRA EL MAYDOUBI</t>
  </si>
  <si>
    <t>FADUA MOHAMED FAHIM</t>
  </si>
  <si>
    <t>TAX FREE EUROPA, S.L.</t>
  </si>
  <si>
    <t>JOSÉ FRANCISCO DOMENECH ROLDÁN</t>
  </si>
  <si>
    <t>KADEM EZACRITI HAMEDI</t>
  </si>
  <si>
    <t>MANUEL PERDIGONÉS DOMÍNGUEZ</t>
  </si>
  <si>
    <t>MELILLA FUNZIONA, S.L.</t>
  </si>
  <si>
    <t>JOSÉ ANTONIO ARROYO BAUTISTA</t>
  </si>
  <si>
    <t>JUAN JESÚS PASCUAL SÁNCHEZ</t>
  </si>
  <si>
    <t>YASSIN YAKHLEF OUBALI</t>
  </si>
  <si>
    <t>JUAN RAMÓN MONTENEGRO RODRÍGUEZ</t>
  </si>
  <si>
    <t>DESPIDO IMPROCEDENTE Y CANTIDAD</t>
  </si>
  <si>
    <t>OMAR BOURAS</t>
  </si>
  <si>
    <t>BENAISA E HIJOS, S.L.</t>
  </si>
  <si>
    <t>RECONOCIMIENTO DE DERECHOS CAMBIO DE CONTINGENCIA DE ENFERMEDAD COMÚN A ENFERMEDAD PROFESIONAL IT</t>
  </si>
  <si>
    <t>SUFIAN MOHAMED FATMI</t>
  </si>
  <si>
    <t>SOLIMAN HAMED EMBARK</t>
  </si>
  <si>
    <t>EULEN SEGURIDAD, S.A.</t>
  </si>
  <si>
    <t>MODIFICACIÓN SUSTANCIAL DE LAS CONDICIONES DE TRABAJO</t>
  </si>
  <si>
    <t>SANDRA CARMONA SORROCHE</t>
  </si>
  <si>
    <t>GONZAPA MELILLA, S.L. Y JUAN ANTONIO ARMADA VILLALTA</t>
  </si>
  <si>
    <t>BILAL MUSTAFA ABDESLAM</t>
  </si>
  <si>
    <t>EULEN, S.A.</t>
  </si>
  <si>
    <t>MÓNICA MARTÍNEZ GARCÍA</t>
  </si>
  <si>
    <t>HASSAN EMBARK ABDELLAH</t>
  </si>
  <si>
    <t>SALVADOR TÉLLEZ CABEZA</t>
  </si>
  <si>
    <t>CABO EXPRESS, S.L.</t>
  </si>
  <si>
    <t>EDUARDO ANTONIO ORTEGA ABRIL</t>
  </si>
  <si>
    <t>NEBIL HAMED GRANDE</t>
  </si>
  <si>
    <t>JOSÉ MARÍA RIZO GARCÍA TALAVERA</t>
  </si>
  <si>
    <t>NURIA MOYA BUMEDIEN</t>
  </si>
  <si>
    <t>BURGER KING SPAIN, S.L.U.</t>
  </si>
  <si>
    <t>ARACELI NAVARRO LÓPEZ</t>
  </si>
  <si>
    <t>MIGUEL SABIO SEN, ABDERRAHIM MOHAMED MOHAND, MOHAMED MOHAMED FAHIM, MUSTAFA MOHAMEDI AL LAL, ABDELHUAHED AL LAL MO0HAMED, SAMIR MOHAMED CHAIB Y REMEDIOS MACHADO ALBA</t>
  </si>
  <si>
    <t>RESTITUCIÓN EN SUS CARGOS DE PRESIDENTA Y SECRETARIO DEL COMITÉ DE EMPRESA</t>
  </si>
  <si>
    <t>JUAN DÍAZ GARCÍA</t>
  </si>
  <si>
    <t>FRANCISCO DÍAZ GARCÍA</t>
  </si>
  <si>
    <t>SCI (SERVICIO DE COLABORACIÓN INTEGRAL)</t>
  </si>
  <si>
    <t>JUAN FRANCISCO DÍAZ FAUS</t>
  </si>
  <si>
    <t>NORA EMBARK MOHAND</t>
  </si>
  <si>
    <t>CRISTINA MORENO MEJÍAS</t>
  </si>
  <si>
    <t>EULEN S.A. SERVICIOS SOCIOSANITARIOS</t>
  </si>
  <si>
    <t>ALICIA SALCEDO BELMONTE</t>
  </si>
  <si>
    <t>CARMELO MARTÍNEZ LÁZARO, S.L.U.</t>
  </si>
  <si>
    <t>CESIÓN ILEGAL DE TRABAJADORES</t>
  </si>
  <si>
    <t>IGNACIO FERNANDO DÍEZ ARCAS</t>
  </si>
  <si>
    <t>MARÍA ISABEL BERBEL ROJAS</t>
  </si>
  <si>
    <t>ENCARNACION ROLDAN PEREZ</t>
  </si>
  <si>
    <t>SERVICIOS INTEGRALES DE LIMPIEZA NET SL</t>
  </si>
  <si>
    <t>DAVID GRAM¡NADOS JIMWNEZ</t>
  </si>
  <si>
    <t>BLUE JATIUCA ESPAÑA SL, JEAN BOSSON PEREZ DE LEZA</t>
  </si>
  <si>
    <t>MIMONA MIMUN SEL LAM</t>
  </si>
  <si>
    <t>SUPERNOVA ASISTENCIAS, S.L.U. E IKREA-GESTION DE LA CULTURA Y EL OCIO SL</t>
  </si>
  <si>
    <t>DCHO Y CANTIDAD</t>
  </si>
  <si>
    <t>PAOLA ANDUJAR FERNANDEZ</t>
  </si>
  <si>
    <t>NOURA MOHAMED HASSAN</t>
  </si>
  <si>
    <t>MOHAMED DJABI BAB CHIKR</t>
  </si>
  <si>
    <t>MUTUA PATRONAL DE ACCIDENTES DE TRABAJO ASEPEYO</t>
  </si>
  <si>
    <t>RETENCIONES INDEBIDAS</t>
  </si>
  <si>
    <t>FATI M HAMED AHMED</t>
  </si>
  <si>
    <t>ISMAEL MOHAMEDI MOHA,MED</t>
  </si>
  <si>
    <t>RESOLUCION CONTRATO Y CANTIDAD</t>
  </si>
  <si>
    <t>ALEGRIA BENZAQUEN COHEN</t>
  </si>
  <si>
    <t>CC2/2022</t>
  </si>
  <si>
    <t>COMISIONES OBRERAS</t>
  </si>
  <si>
    <t>TUTELA DCHO FUNDAMENTAL A LA LIBERTAD SINDICAL</t>
  </si>
  <si>
    <t>SALAH MOHAND ALI</t>
  </si>
  <si>
    <t>ALI DANI TEYIBI</t>
  </si>
  <si>
    <t>MANUEL MIGUEL FERNÁNDEZ RAMÍREZ</t>
  </si>
  <si>
    <t>JOSE FRANCISCO DOMENECH ROLDAN</t>
  </si>
  <si>
    <t>ABDENNASER JAATIT</t>
  </si>
  <si>
    <t>HERMANOS AZZOUZI, S.L.</t>
  </si>
  <si>
    <t>FARAH IKRAM HAMIDA DRISS</t>
  </si>
  <si>
    <t>SCI (SERVICIOS DE COLABORACIÓN INTEGRAL)</t>
  </si>
  <si>
    <t>CESIÓN DE MANO DE OBRA Y CANTIDAD</t>
  </si>
  <si>
    <t>LUIS MIGUEL FERNÁNDEZ RUIZ</t>
  </si>
  <si>
    <t>AGENCIA MÉRIDA LOGÍSTICA, S.L.</t>
  </si>
  <si>
    <t>RESOLUCIÓN DE CONTRATO DE TRABAJO CON VULNERACIÓN DE DERECHOS FUINDAMENTALES</t>
  </si>
  <si>
    <t>DERECHO Y CANTIDAD (HORAS EXTRAORDINARIAS)</t>
  </si>
  <si>
    <t>DERECHO Y CANTIDAD (COMPLEMENTOS)</t>
  </si>
  <si>
    <t>DERECHO Y CANTIDAD (FORMACIÓN)</t>
  </si>
  <si>
    <t>EMILIO HERRERO NAVARRO</t>
  </si>
  <si>
    <t>RECLAMACIÓN INDEMNIZACIÓN SEGURO COLECTIVO DE ACCIDENTES</t>
  </si>
  <si>
    <t>ANA LÓPEZ PARRA</t>
  </si>
  <si>
    <t>INNOVA LUCAS, S.L.</t>
  </si>
  <si>
    <t>EVA MARÍA AGUILERA MARTÍNEZ</t>
  </si>
  <si>
    <t>ROGELIO JESÚS CERVIÑO TOLEDO</t>
  </si>
  <si>
    <t>SERVICIOS DE COLABORACIÓN INTEGRAL, S.L.U.</t>
  </si>
  <si>
    <t>SORAYA MOHAMED OMAR</t>
  </si>
  <si>
    <t>BELROS RETAIL, S.A.</t>
  </si>
  <si>
    <t>MOHAMED TAHIRI</t>
  </si>
  <si>
    <t>ESPECIAS Y CONDIMENTOS MELILLA, S.L.</t>
  </si>
  <si>
    <t>MARIA SOFIA GUIRAU FRANCIA</t>
  </si>
  <si>
    <t>CRD INMOGESTION MELILLA SL</t>
  </si>
  <si>
    <t>SMAIL ALLOUCH</t>
  </si>
  <si>
    <t>NADIR KARMUDI SLU</t>
  </si>
  <si>
    <t>RESOLUCION CONTRATO</t>
  </si>
  <si>
    <r>
      <rPr>
        <sz val="10"/>
        <rFont val="Arial"/>
        <family val="2"/>
        <charset val="1"/>
      </rPr>
      <t>ADIL BOUKADDOUR</t>
    </r>
    <r>
      <rPr>
        <sz val="10"/>
        <color rgb="FFC9211E"/>
        <rFont val="Arial"/>
        <family val="2"/>
        <charset val="1"/>
      </rPr>
      <t xml:space="preserve"> DESISTIDA PRESENTA NUEVA CON231</t>
    </r>
  </si>
  <si>
    <t>MIMOUN MOHAMED AL-LAL</t>
  </si>
  <si>
    <t>MOHAMED JABER BELHAJ</t>
  </si>
  <si>
    <t>MUSTAFA KADDUR MOHAMED</t>
  </si>
  <si>
    <t xml:space="preserve">FUNDACION DIAGRAMA INTERVENCION PSICOSOCIAL </t>
  </si>
  <si>
    <t>BRAHIM EL HADI AMAR</t>
  </si>
  <si>
    <t>MELMATIC SL</t>
  </si>
  <si>
    <t>NORA MOHAMED HAMED, FRANCISCA CANO RUIZ, RAUL REY VAZQUEZ, VANESA LOPEZ BOU, M.ª INMACULADA SORIANO RAMON, M.ª JOSE RUIZ CONEJO, MARTA COMPAN SIMON, NASSERA MOHAMED ABDELKADER Y DOLORES SORIANO RAMON</t>
  </si>
  <si>
    <t>SISTEMAS INTERACTIVOS MULTIMEDIA DE MELILLA SL, BE CALL BPO SL Y AVILON CENTER</t>
  </si>
  <si>
    <t>CESION DE MANO DE OBRA Y CANTIDAD</t>
  </si>
  <si>
    <t>MARZOK BUZZIAN MAANAN</t>
  </si>
  <si>
    <t>ADIL BOUKADDOUR</t>
  </si>
  <si>
    <t>HAMED MOHAMED SI-ALI</t>
  </si>
  <si>
    <t>YOUNESS EL BAKKAOUI</t>
  </si>
  <si>
    <t>MOHAMED MAIMOUNI</t>
  </si>
  <si>
    <t>MOHAMED EL KAJJOUI EL HAMOUTI</t>
  </si>
  <si>
    <t>COMERCIAL ESPAÑOLA DE RECAMBIOS Y AUTOMÓVILES, S.A. Y CERASA, S.L.</t>
  </si>
  <si>
    <t>MOHAMED ABDESSAMAD MOHAMED</t>
  </si>
  <si>
    <t>PROSEGUR ESPAÑA, S.L.</t>
  </si>
  <si>
    <t>CC3/2022</t>
  </si>
  <si>
    <t>APLICACIÓN TABLAS SALARIALES IV CONVENIO COLECTIVO ESTATAL DE REFORMA JUVENIL Y PROTECCIÓN DE MENORES</t>
  </si>
  <si>
    <t>JUAN SANTIAGO SANTIAGO</t>
  </si>
  <si>
    <t>DESPIDO, CESIÓN DE MANO DE OBRA Y CANTIDAD</t>
  </si>
  <si>
    <t>JAMAL EL MAKRINI</t>
  </si>
  <si>
    <t>MARIA DEL CARMEN PONS ALVAREZ</t>
  </si>
  <si>
    <t>DESPIDO CESION ILEGAL DE TRABAJADORES</t>
  </si>
  <si>
    <t>AMAR MOHAMED EL MESSAOUIDI</t>
  </si>
  <si>
    <t>CANTIDAD Y DESPIDO</t>
  </si>
  <si>
    <t>CC4/2022</t>
  </si>
  <si>
    <t>SINDICATO INDEPENDIENTE DE MELILLA (SIM</t>
  </si>
  <si>
    <t>DERECHO Y ABONO DEL COMPLEMENTO RETRIBUTIVO BONIFICACIÓN DE SEGURIDAD SOCIAL DE CEUTA Y MELILLA</t>
  </si>
  <si>
    <t>ATMAN AMJAHED</t>
  </si>
  <si>
    <t>BRAHIM AFERFACHE</t>
  </si>
  <si>
    <t>MELIREP, S.L.</t>
  </si>
  <si>
    <t>MUSA AL LAL BENAISA</t>
  </si>
  <si>
    <t>RACHID MOHAMED MOHAMED</t>
  </si>
  <si>
    <t>TARIK BOUHNOUF SAHAIM</t>
  </si>
  <si>
    <t>DESPIDO NULO Y RECLAMACIÓN SALARIAL</t>
  </si>
  <si>
    <t>WAFA ABDELKADER HADU</t>
  </si>
  <si>
    <t>YUSRI AMEKRAN MOHAMED DRIS</t>
  </si>
  <si>
    <t>CLECE SEGURIDAD, S.A.U. Y PROSEGUR SOLUCIONES INTEGRALES SEGURIDAD</t>
  </si>
  <si>
    <t>MODIFICACIÓN CONDICIONES DE TRABAJO Y CANTIDAD</t>
  </si>
  <si>
    <t>ALI EL HADI EL ARNOUKI</t>
  </si>
  <si>
    <t>JAIME DRIS BENAISA</t>
  </si>
  <si>
    <t>SUFIAN BOUHNOUF SAHAIM</t>
  </si>
  <si>
    <t>HASSAN EL BAHRAOUI</t>
  </si>
  <si>
    <t>YAMAL MOHAMED ABDESELAM</t>
  </si>
  <si>
    <t>KARIM EL FOUNTI FEKRY</t>
  </si>
  <si>
    <t>EULEN SERVICIOS SOCIOSANITARIOS, S.A.</t>
  </si>
  <si>
    <t>EL OUARDA EL MANSOURI BIJJI</t>
  </si>
  <si>
    <t>JUAN ANTONIO GONZALEZ BUENO</t>
  </si>
  <si>
    <t>EULEN SERVICIOS SOCIOSANITARIOS Y CLECE SA</t>
  </si>
  <si>
    <t>ENARA ARREGUI QUINTANILLA</t>
  </si>
  <si>
    <t>CHEYMA MOHAMEDI MOHAND</t>
  </si>
  <si>
    <t>SHALON 26 SL, ABRAHAM MORELY LEVY Y ARIEL MOISES OBADIA LEVY</t>
  </si>
  <si>
    <t>SANCIÓN</t>
  </si>
  <si>
    <t>18/’05/2022</t>
  </si>
  <si>
    <t>ÁNGEL BENÍTEZ SOLER</t>
  </si>
  <si>
    <t>FADOUA BOUHOT</t>
  </si>
  <si>
    <t>PANADERÍA Y CONFITERÍA AROMA, S.L.</t>
  </si>
  <si>
    <t>JOSE CUETO ZAPATA</t>
  </si>
  <si>
    <t>PROSEGUR SERVICIOS DE EFECTIVOS ESPAÑA</t>
  </si>
  <si>
    <t>MANOLI MEDRANO MEDRANO</t>
  </si>
  <si>
    <t>CLECE SA</t>
  </si>
  <si>
    <t>MINA EL BEDAATI</t>
  </si>
  <si>
    <t>ABDELKADER ZARIOH MOHAMED</t>
  </si>
  <si>
    <t>DESPIDO Y RECLAMACIÓN SALARIAL</t>
  </si>
  <si>
    <t>FRANCISCO JAVIER ÁLAMO PELEGRÍN</t>
  </si>
  <si>
    <t>BLUE JATIUCA ESPAÑA, S.L.</t>
  </si>
  <si>
    <t>ISLAM CHARID MIMON</t>
  </si>
  <si>
    <t>TETESTEA, S.L.</t>
  </si>
  <si>
    <t>SANA ABDELKADER AHMED</t>
  </si>
  <si>
    <t>GRAN CASINO DE MELILLA</t>
  </si>
  <si>
    <t>EXTINCIÓN DEL CONTRATO DE TRABAJO POR MODIFICACIÓN SUSTANCIAL DE LAS CONDICIONES DE TRABAJO</t>
  </si>
  <si>
    <t>MIGUEL SEGURA HERNÁNDEZ</t>
  </si>
  <si>
    <t>DANIEL LOZANO BARROS</t>
  </si>
  <si>
    <t>DEXFIRE MELILLA, S.L.</t>
  </si>
  <si>
    <t>ZAMIRA BENAISA HOSSAIN</t>
  </si>
  <si>
    <t>VANESA CUENCA VEGA</t>
  </si>
  <si>
    <t xml:space="preserve">RESOLUCIÓN CONTRATO </t>
  </si>
  <si>
    <t>NORDIN MOHAMED MOHAMED</t>
  </si>
  <si>
    <t>ÁNGEL MARTÍNEZ GARCÍA</t>
  </si>
  <si>
    <t>TEODORO LEAL MIGUEZ</t>
  </si>
  <si>
    <t>BOUZIAN BENALI</t>
  </si>
  <si>
    <t>NORAMIN MELILLA, S.L.</t>
  </si>
  <si>
    <t>IMPUGNACIÓN SANCIÓN GRAVE</t>
  </si>
  <si>
    <t>HANAN AL LAL HAD DOUTI</t>
  </si>
  <si>
    <t>LIMPIEZA MEDITERRÁNEO SERVICIOS Y APLICACIONES, S.L.</t>
  </si>
  <si>
    <t>DERECHOS Y CANTIDADES</t>
  </si>
  <si>
    <t>ABDESLAM AL LAL MIMUN</t>
  </si>
  <si>
    <t>AUDAY CHOCRÓN JAIME, DISPORT MELILLA, ALMACENES AUDAY, S.L. Y HOLDING MARINA DE MELILLA, S.L.</t>
  </si>
  <si>
    <t>AHMIDA MOHAMED AMAR</t>
  </si>
  <si>
    <t>BORJA CARMONA SAAVEDRA</t>
  </si>
  <si>
    <t>VALORIZA SERVICIOS MEDIOAMBIENTALES, S.A. Y MUTUA ACCIDENTES Y ENFERMEDADES PROFESIONALES ASEPEYO</t>
  </si>
  <si>
    <t>LAAZIZ AGHMARI</t>
  </si>
  <si>
    <t>EL BACHIR BOUKHOUALI</t>
  </si>
  <si>
    <t>SHERMAR MELILLA, S.L.U.</t>
  </si>
  <si>
    <t>DUNIA MOHAMED HAMEDI</t>
  </si>
  <si>
    <t>HÉRCULES SERVICIOS GENERALES DE INTEGRACIÓN, S.L.</t>
  </si>
  <si>
    <t>MHAMED CHARKI AZNOUN</t>
  </si>
  <si>
    <t>BALEARIA EUROLÍNEAS MARÍTIMAS, S.A.</t>
  </si>
  <si>
    <t>OUALID EL KADAOUI ACHOUK</t>
  </si>
  <si>
    <t>DRISS AZOUAGHE ABDELLAH</t>
  </si>
  <si>
    <t>BOUZIAN BENALI EL ATTAR</t>
  </si>
  <si>
    <t>IMAN ABDEL LAH MOHAMED</t>
  </si>
  <si>
    <t>DIA RETAIL ESPAÑA, S.A.U.</t>
  </si>
  <si>
    <t>DESPIDO NULO Y CANTIDADES</t>
  </si>
  <si>
    <t>DUNIA AHMED AMAR</t>
  </si>
  <si>
    <t>RADIO TELEVISIÓN MELILLA, S.A. Y YERAI DÍAZ ZBIDA</t>
  </si>
  <si>
    <t>JAVIER GARCÍA ANGOSTO</t>
  </si>
  <si>
    <t>INFORMACIÓN MUNICIPAL INMUSA</t>
  </si>
  <si>
    <t>DESPIDO DISCIPLINARIO</t>
  </si>
  <si>
    <t>SUFIAN MAANAN MOHAMED</t>
  </si>
  <si>
    <t>BILAL AICHE EL BAHTATI</t>
  </si>
  <si>
    <t>ALFONSO LÓPEZ CORONIL</t>
  </si>
  <si>
    <t>AD DENTAL MELILLA, S.L.</t>
  </si>
  <si>
    <t>LILIANE AHMED MOHAMED</t>
  </si>
  <si>
    <t>CARCAMOVIL SLU</t>
  </si>
  <si>
    <t>ÁLVARO LÓPEZ QUESADA</t>
  </si>
  <si>
    <t>ALVALOP SERVICIOS XXI, S.L.</t>
  </si>
  <si>
    <t>LOUIZA ACHBANI</t>
  </si>
  <si>
    <t>MULTISERVICIOS AEROPORTUARIOS</t>
  </si>
  <si>
    <t>SILVIA CRESPO MUSTAFA</t>
  </si>
  <si>
    <t>HERCULES SERVICIOS GENERALES DE INTEGRACION SL</t>
  </si>
  <si>
    <t>MARI CARMEN AGUILAR REY</t>
  </si>
  <si>
    <t>MARIA DOLORES SEDANO PEREZ</t>
  </si>
  <si>
    <t>INFORMACION MUNICIPAL MELILLA SA (INMUSA)</t>
  </si>
  <si>
    <t>FATI MHAMED AHMED</t>
  </si>
  <si>
    <t>ISMAEL MOHAMEDI MOHAMED</t>
  </si>
  <si>
    <t>MARTA CASTELLANO JONES</t>
  </si>
  <si>
    <t>RECREATIVOS FRANCO DIGITAL, S.A.U.</t>
  </si>
  <si>
    <t>HICHAM KADDOURI</t>
  </si>
  <si>
    <t>YUBEY TRADING, S.L., TRANSPORTES INTER ANTPAMA, S.L. Y GENERIC TRADING, S.L.</t>
  </si>
  <si>
    <t>SAIDA BOUAALAM</t>
  </si>
  <si>
    <t>ISABEL MARÍA GARCÍA LÓPEZ</t>
  </si>
  <si>
    <t>RECONOCIMIENTO DE JORNADA LABORAL A JORNADA COMPLETA</t>
  </si>
  <si>
    <t>IASSER DRIS ABDELKADER</t>
  </si>
  <si>
    <t>AHMED SAIDI</t>
  </si>
  <si>
    <t>EL GURUGÚ, S.L.</t>
  </si>
  <si>
    <t>09:25 CAMBIO DE HORA POR LAS 10:10</t>
  </si>
  <si>
    <t xml:space="preserve">RACHID HANAFI OUCHEN </t>
  </si>
  <si>
    <t>GLOBAL LEPAGUE, S.L.U.</t>
  </si>
  <si>
    <t>JESÚS GÁLVEZ GARCÍA</t>
  </si>
  <si>
    <t>UTE EAS (EYSA, S.A.U., SETEX APARKI, S.A. Y ACE PARKING MANAGEMENT INC.)</t>
  </si>
  <si>
    <t>ÁNGELES JIMÉNEZ HERNÁNDEZ</t>
  </si>
  <si>
    <t>SOCIEDAD ESTATAL CORREOS Y TELÉGRAFOS, S.A. Y ROSA MARÍA ESTEBAN CALVO</t>
  </si>
  <si>
    <t>SAMIR MOHAMED CHAIB</t>
  </si>
  <si>
    <t>ANTIGÜEDAD</t>
  </si>
  <si>
    <t>FRANCISCO J GARCÍA ALONSO</t>
  </si>
  <si>
    <t>CANTIDAD Y CATEGORÍA PROFESIONAL</t>
  </si>
  <si>
    <t>FATIMA MALHI</t>
  </si>
  <si>
    <t>CANTIDAD, ANTIGÜEDAD Y CATEGORÍA PROFESIONAL</t>
  </si>
  <si>
    <t>KHALID AYAD HAMED</t>
  </si>
  <si>
    <t>ABDELKADER MEKNASSI</t>
  </si>
  <si>
    <t>MIMOUN AMAR AL LAL</t>
  </si>
  <si>
    <t>MOHAMED MOHAND LAHCEN</t>
  </si>
  <si>
    <t>RACHID MOHAMED MOHAND</t>
  </si>
  <si>
    <t>MUSTAPHA AMJAHAD</t>
  </si>
  <si>
    <t>ANTIGÜEDAD Y CANTIDAD</t>
  </si>
  <si>
    <t>ABDESLAM EL MJDOUBI ASSALHI</t>
  </si>
  <si>
    <t>EMPRESA DE TRANSFORMACIÓN AGRARIA, TRAGSA</t>
  </si>
  <si>
    <t xml:space="preserve">DERECHO </t>
  </si>
  <si>
    <t>LAHBIB BOUKICHOU MIMOUN</t>
  </si>
  <si>
    <t>YUREY TRADING, S.L., TRANSPORTES INTER ANTPAMA, S.L. Y GENERIC TRADING, S.L.</t>
  </si>
  <si>
    <t>FRANCISCO BURGOS CONDE</t>
  </si>
  <si>
    <t>PROSEGUR SOLUCIONES INTEGRALES SEGURIDAD Y EULEN SEGURIDAD, S.A.</t>
  </si>
  <si>
    <t>JUAN CARLOS CASTRO HERNÁNDEZ</t>
  </si>
  <si>
    <t>PUBLIGRAFIC MELILLA, S.L.</t>
  </si>
  <si>
    <t>LAURA MARÍA MURIANA MÁRQUEZ</t>
  </si>
  <si>
    <t>MELILLA PUERTO, S.A.</t>
  </si>
  <si>
    <r>
      <rPr>
        <sz val="10"/>
        <rFont val="Arial"/>
        <family val="2"/>
        <charset val="1"/>
      </rPr>
      <t xml:space="preserve">BRAHIM EL FOUTOUHI OUHAJJI </t>
    </r>
    <r>
      <rPr>
        <b/>
        <sz val="11"/>
        <color rgb="FFC9211E"/>
        <rFont val="Arial"/>
        <family val="2"/>
        <charset val="1"/>
      </rPr>
      <t>(DESISTIMIENTO)</t>
    </r>
  </si>
  <si>
    <t>MIMON MOHATAR MOHAMED</t>
  </si>
  <si>
    <t>VACACIONES</t>
  </si>
  <si>
    <t>FRANCISCO JOSÉ ALIAGA FERNÁNDEZ</t>
  </si>
  <si>
    <t>CARMELO CALDERÓN MÁRQUEZ</t>
  </si>
  <si>
    <t>MINA BOUZIDI</t>
  </si>
  <si>
    <t>CARMEN TUR CAMPS</t>
  </si>
  <si>
    <t>LILIANE MALLUG HAMED</t>
  </si>
  <si>
    <t>GAMAL SALAH AMARADEM Y ZOHER SALAH AMARADEM</t>
  </si>
  <si>
    <t>MOHAMED HAMMU HAMED</t>
  </si>
  <si>
    <t>BURGER KING SPAIN, S.L.</t>
  </si>
  <si>
    <t>YUSEF TAHIRI EL KAHLAOUI</t>
  </si>
  <si>
    <t>EULEN, S.A. Y LUNAMAR BOUARFA SAID, S.L.</t>
  </si>
  <si>
    <t>GLOBAL LEPAGE, S.L.U.</t>
  </si>
  <si>
    <t>DESPIDO Y RECLAMACIÓN DE CANTIDADES</t>
  </si>
  <si>
    <t>SOLIMAN HAMETE ABDEL LAH</t>
  </si>
  <si>
    <t>RECREATIVOS FRANCO DIGITAL, S,.A.U.</t>
  </si>
  <si>
    <t>HOSSEIN MOHAMED MIMON</t>
  </si>
  <si>
    <t>BOUSELHAM BTIOUT</t>
  </si>
  <si>
    <t>INMACULADA SÁNCHEZ PASTOR</t>
  </si>
  <si>
    <t>CLECE, S.A.</t>
  </si>
  <si>
    <t>RESOLUCIÓN DEL CONTRATO (ART. 50)</t>
  </si>
  <si>
    <t>HOURIA AARAN EL NOKHTAR</t>
  </si>
  <si>
    <t>MANUEL MARTÍN VISIEDO</t>
  </si>
  <si>
    <t>JESÚS MIGUEL SÁEZ CAZORLA</t>
  </si>
  <si>
    <t>SERSINERGIA SERVICE SOLUTIONS, S.L., SULIMAN BUMEDIEN MOHATAR Y NAYIM MOHAMED MOHAMED</t>
  </si>
  <si>
    <t>SERSINERGIA SERVICE SOLUTIONS, S.L. Y NAYIM MOHAMED MOHAMED</t>
  </si>
  <si>
    <t>LEANDRO JOSE MORA NAVARRO</t>
  </si>
  <si>
    <t>MEDIA MARKT EMERGING FORMATS SL (MEDIAMARKT MELILLA) Y JUKE ENTERTAINMENT ESPAÑA SL</t>
  </si>
  <si>
    <t>JAVIER LÓPEZ MOHAMED</t>
  </si>
  <si>
    <t>INDEMNIZACIÓN POR DAÑOS Y PERJUICIOS DERIVADOS DE ACCIDENTE DE TRABAJO</t>
  </si>
  <si>
    <t>MIMOUNT EL MESSAOUDI BENHAMMOU</t>
  </si>
  <si>
    <t>HÉRCULES SERVICIOS GENERALES INTEGRALES, S.L.</t>
  </si>
  <si>
    <t>LATIFA BOUTACHKOUCHT</t>
  </si>
  <si>
    <t>MARÍA PILAR PUEYO BLANCO</t>
  </si>
  <si>
    <t>RUTH BAENA IBÁÑEZ</t>
  </si>
  <si>
    <t>SORAYA MONAGAS GONZÁLEZ Y NATALIA BOCANEGRA</t>
  </si>
  <si>
    <t>MARÍA JOSEFA MONTEJANO SERNA</t>
  </si>
  <si>
    <t>TOUFIK TAHIRI</t>
  </si>
  <si>
    <t>ROSA CARRERO SLU</t>
  </si>
  <si>
    <t>HAQUIM EMBARK ABDEL-LAH</t>
  </si>
  <si>
    <t>SUPERSOL SPAIN SLU</t>
  </si>
  <si>
    <t>IMEN ABDELKADER ABDELA</t>
  </si>
  <si>
    <t>TELEINFORMÁTICA Y COMUNICACIONES, S.A.</t>
  </si>
  <si>
    <t>IMPUGNACIÓN DE DESPIDO</t>
  </si>
  <si>
    <t>AMINA KHALDOUN</t>
  </si>
  <si>
    <t>KARIMA MIZZIAN HAMED</t>
  </si>
  <si>
    <t>FATIMA MTITACHE</t>
  </si>
  <si>
    <t>IBRAHIM EL FILALI</t>
  </si>
  <si>
    <t>CONSTRUCCIONES, REFORMAS Y MANTENIMIENTOS REA, S.L.</t>
  </si>
  <si>
    <t>ABDELMAJID BOUJOU</t>
  </si>
  <si>
    <t>HASSAN DRIS HADDU</t>
  </si>
  <si>
    <t>ESTHER LÓPEZ COLL</t>
  </si>
  <si>
    <t>ELENA MARÍA ESPAÑA NÚÑEZ</t>
  </si>
  <si>
    <t>HÉRCULES SERVICIOS GENERALES INTEGRALES</t>
  </si>
  <si>
    <t>HAIET DUNIA MOHAMED ABDELAH</t>
  </si>
  <si>
    <t>MEDIAMARKT EMERGING FORMATS, S.L.U.</t>
  </si>
  <si>
    <t>HASSAN EL MASSAOUDI ESSOUSSI</t>
  </si>
  <si>
    <t>EL HOSSINE AJAYHI BELGHANOU</t>
  </si>
  <si>
    <t>ALICIA LÓPEZ GALINDO</t>
  </si>
  <si>
    <t>GRAN CASINO DE MELILLA, S.A.</t>
  </si>
  <si>
    <t>REDUAN RUBÉN VÁZQUEZ HAMIDO</t>
  </si>
  <si>
    <t>ANTONIO MÉNDEZ MIZZIAN</t>
  </si>
  <si>
    <t>JUKE ENTERTAINMENT ESPAÑA, S.L. Y MEDIA MARKT EMERGING FORMATS, SL.U.</t>
  </si>
  <si>
    <t>VERÓNICA GALLEGO VILLANOVA</t>
  </si>
  <si>
    <t>MARÍA ELENA CORREA FRAILE</t>
  </si>
  <si>
    <t>YUNES AHMED HASSAN</t>
  </si>
  <si>
    <t>EURO HUADA, S.L.</t>
  </si>
  <si>
    <t>SALIMA AHMED DRIS</t>
  </si>
  <si>
    <t>MEDIA MARKT EMERGING FORMATS, S.L. Y JUKE ENTERTAINMENT ESPAÑA, S.L.</t>
  </si>
  <si>
    <t>DESPIDO NULO CON INDEMNIZACIÓN DE DAÑOS Y PERJUICIOS Y CANTIDAD</t>
  </si>
  <si>
    <t>FOUAD MAHMOUDI BOUKABBOUZ</t>
  </si>
  <si>
    <t>CASHDIPLO, S.L.U.</t>
  </si>
  <si>
    <t>RESOLUCION DEL CONTRATO A INSTANCIA DEL TRABAJADOR (ART. 50 ET)</t>
  </si>
  <si>
    <t>ELOY MARTÍNEZ RUIZ</t>
  </si>
  <si>
    <t>ASMAA CARROUM</t>
  </si>
  <si>
    <t>M.ª ISABEL ROMERO IMBRODA</t>
  </si>
  <si>
    <t>MOHAMED EL GAUADI</t>
  </si>
  <si>
    <t>UTE RECICLADOS MELILLA</t>
  </si>
  <si>
    <t>SOLIMAN MOHAMED EL YAMANI</t>
  </si>
  <si>
    <t>DRYANS MANUEL VALERO NUÑEZ</t>
  </si>
  <si>
    <t>TANIA ESTRELLA LOZANO FLORES</t>
  </si>
  <si>
    <t>IMPUGANCION DE DESPIDO</t>
  </si>
  <si>
    <t>NASSER ASSAIDI HAMMUAD</t>
  </si>
  <si>
    <t>PATRICIA ESTRUCH LAHSAINI</t>
  </si>
  <si>
    <t>CENTROS CARREFOUR SA</t>
  </si>
  <si>
    <t>HASSAN DOUDOUH</t>
  </si>
  <si>
    <t>CC.OO DE MELILLA, CC.OO CONSTRUCCION Y SERVICIOS, CC.OO DEL HABITAT</t>
  </si>
  <si>
    <t>LAURA ZAPATA LOPEZ</t>
  </si>
  <si>
    <t>CARMELO MARTINEZ LAZARO SLU</t>
  </si>
  <si>
    <t>CARMEN PEREZ MARTINEZ</t>
  </si>
  <si>
    <t>MERCEDES CHOCRÓN BUNAN</t>
  </si>
  <si>
    <t>GESTIÓN DE TEXTIL INTEGRAL DEL SUR 2009 SL</t>
  </si>
  <si>
    <t>ESTHER SULTÁN RUAS</t>
  </si>
  <si>
    <t>MARIEM EL ASFOURI EL BALI</t>
  </si>
  <si>
    <t>RECONOCIMENTO DE DERECHO Y CANTIDADES</t>
  </si>
  <si>
    <t>ISSAM SOUSSI LAARBI</t>
  </si>
  <si>
    <t>RECONOCIMIENTO DE DERECHO Y CANTIDADES</t>
  </si>
  <si>
    <t>LAILA HAMMADI  MOHAMED</t>
  </si>
  <si>
    <t>CENTRO ASISTENCIAL DE MELILLA</t>
  </si>
  <si>
    <t>MIMUN MIMUN MOHAMED</t>
  </si>
  <si>
    <t>CLUB INTERGYM MELILLA</t>
  </si>
  <si>
    <t>JOSE LUIS GALLEGO BELLIDO</t>
  </si>
  <si>
    <t>SECURITAS SEGURIDAD ESPAÑA SA</t>
  </si>
  <si>
    <t>RECLAMACION DE DERECHO</t>
  </si>
  <si>
    <t>CC 5/2022</t>
  </si>
  <si>
    <t>UGT</t>
  </si>
  <si>
    <t>ASOCIACION DE COMERCIANTES DE MELILLA (ACOME) Y COMISIONES OBRERAS</t>
  </si>
  <si>
    <t>CONFLICTO COLECTIVO SOBRE DERECHO Y CANTIDADES</t>
  </si>
  <si>
    <t>HALET DUNIA MOHAMED ABDEL-LAH</t>
  </si>
  <si>
    <t>MEDIA MARKT EMERGING FORMATS SL  (JUKE ENTERTAINMENT ESPAÑA SL)</t>
  </si>
  <si>
    <t>SIHAM OUALI EL HOUARI</t>
  </si>
  <si>
    <t>ENRIQUE VALLEJO GONZALEZ</t>
  </si>
  <si>
    <t>RESOLUCIÓN CONTRATO DE TRABAJO</t>
  </si>
  <si>
    <t>MOHAMED AIT BAK</t>
  </si>
  <si>
    <t>MARZOUK BEN HADDOU</t>
  </si>
  <si>
    <t>NAJIMA EL BOUJADDAINI</t>
  </si>
  <si>
    <t>CATALINA CORREA PERNIA y M.ª JOSE HENCHE CORREA</t>
  </si>
  <si>
    <t>MOHAMED LAARBI TUHAMI</t>
  </si>
  <si>
    <t>UTE RECICLADOS MELILLA Y FRANCISCO JAVIER HITA PEDRAZA</t>
  </si>
  <si>
    <t>DESPIDO NULO Y RECLAMACION SALARIAL</t>
  </si>
  <si>
    <t>LAMIAA EL ALLALI</t>
  </si>
  <si>
    <t xml:space="preserve">FARMACIA COMARCAL C.B.,LISA  BOUBNANE GILHESPY , ANISA BOUBNANE GILHESPY Y MUSTAFA BOUBNANE BOUBNANE </t>
  </si>
  <si>
    <t>INES MARIA PANEQUE MUÑOZ</t>
  </si>
  <si>
    <t>SINDICATO UNION GENERAL DE TRABAJADORES</t>
  </si>
  <si>
    <t>SAID KARIM AMAR</t>
  </si>
  <si>
    <t>ESTRUCTURA ESTEVEZ MELILLA SLU</t>
  </si>
  <si>
    <t>DESPIDO Y RECLAMACION DE CANTIDAD</t>
  </si>
  <si>
    <t>SULIMAN ABDELKADER AL LAL</t>
  </si>
  <si>
    <t>MANUEL ANGEL ESCAÑO MARTINEZ</t>
  </si>
  <si>
    <t>HAYUB MOHAND ABDEL-LAH</t>
  </si>
  <si>
    <t xml:space="preserve">MEDIA MARKT EMERGING FORMATS SL  </t>
  </si>
  <si>
    <t>CC 6/2022</t>
  </si>
  <si>
    <t>VALORIZA SERVICIOS MEDIOAMBIENTALES S.A.</t>
  </si>
  <si>
    <t>COMITE DE EMPRESA, COMITE DE HUELGA, CC.OO, UGT, USTM Y CSIF</t>
  </si>
  <si>
    <t>CONFLICTO COLECTIVO SOBRE CONVOCATORIA HUELGA</t>
  </si>
  <si>
    <t>CRISTIAN JAVIER MOLINA OBADIA</t>
  </si>
  <si>
    <t>TELEINFORMÁTICA Y COMUNICACIONES, S.A.U</t>
  </si>
  <si>
    <t>RAFAEL BARO MONFILLO</t>
  </si>
  <si>
    <t>LAZAROS E HIJOS SL, AXA SEGUROS GENERALES SA</t>
  </si>
  <si>
    <t>ABDELHAMID EL MALKIOUI</t>
  </si>
  <si>
    <t>HIMARC OBRAS Y SERVICIOS SL</t>
  </si>
  <si>
    <t>MOHAMED BACHIRI</t>
  </si>
  <si>
    <t>INMACULADA MENA LINARES</t>
  </si>
  <si>
    <t>OUALI ZAMMOURI</t>
  </si>
  <si>
    <t>KHADIJA ZAHIRI ZAHIR</t>
  </si>
  <si>
    <t>MOHAMED SAKKALI KAMBOUAI</t>
  </si>
  <si>
    <t>EXCAVACIONES VENEGAS, S.L. Y ESFAES CONSTRUCCIONES, S.L. UTE</t>
  </si>
  <si>
    <t>DRISS FIRAOUN</t>
  </si>
  <si>
    <t>HOUSSAINE DABBOUZ</t>
  </si>
  <si>
    <t>CAFÉ Y PIZZA LOVE, C.B., YOUSSEF AL HAMOUTI BOUBNAN Y MOHAMED SAMAR</t>
  </si>
  <si>
    <t>IDIR OUBASSOU</t>
  </si>
  <si>
    <t>ABDELAZIZ AMAQRAN</t>
  </si>
  <si>
    <t>ENRIQUE VALLEJO GONZÁLVEZ</t>
  </si>
  <si>
    <t>RESOLUCIÓN CONTRATO Y CANTIDAD</t>
  </si>
  <si>
    <t>ANTONIO MARTÍNEZ VERDÚ</t>
  </si>
  <si>
    <t>DISTRIBUCIONES CARBÓNICAS DE MELILLA, S.L.</t>
  </si>
  <si>
    <t>IMPUGNACIÓN DE SANCIONES</t>
  </si>
  <si>
    <t>AHMED BACHAOU CHAOUI</t>
  </si>
  <si>
    <t>COMUNIDAD DE PROPIETARIOS POLÍGONO INDUSTRIAL LAS MARGARITAS</t>
  </si>
  <si>
    <t>MOHAMED EL MOUSSAOUI ARDOUZ</t>
  </si>
  <si>
    <t>ABDELAZIZ MUSTAFA MIZZIAN Y MUSTAFA MIZZIAN E HIJOS, S.L.</t>
  </si>
  <si>
    <t>EXTINCIÓN RELACIÓN LABORAL Y CANTIDAD</t>
  </si>
  <si>
    <t>SOLICITUD</t>
  </si>
  <si>
    <t>DNI</t>
  </si>
  <si>
    <t>REPRESENTANTE TRABAJADOR</t>
  </si>
  <si>
    <t>DNI REP.</t>
  </si>
  <si>
    <t>CIF</t>
  </si>
  <si>
    <t>LISTADO CITACIONES 29 DE JULIO 2022</t>
  </si>
  <si>
    <t>TRABAJADOR</t>
  </si>
  <si>
    <t>REPRESENTANTE TRAB.</t>
  </si>
  <si>
    <t>EMPRESA</t>
  </si>
  <si>
    <t>MOHAMED OUHANNA</t>
  </si>
  <si>
    <t>Y8942625D</t>
  </si>
  <si>
    <t>45314714J</t>
  </si>
  <si>
    <t>JOSÉ ESCOBAR GÓMEZ</t>
  </si>
  <si>
    <t>REDOUAN EL BOUDALI EL MOUDNI</t>
  </si>
  <si>
    <t>44073884L</t>
  </si>
  <si>
    <t>FARID MOHAMED SAID</t>
  </si>
  <si>
    <t>45308774Q</t>
  </si>
  <si>
    <t>CARAI MELILLA, S.L. Y FRANCISCO ANTONIO MENA GIL</t>
  </si>
  <si>
    <t xml:space="preserve">B52021052 Y </t>
  </si>
  <si>
    <t>RECONOCIMIENTO DE DERECHOS (ANTIGÜEDAD)</t>
  </si>
  <si>
    <t>INMACULADA GONZÁLEZ PEÑA</t>
  </si>
  <si>
    <t>27382208H</t>
  </si>
  <si>
    <t>EVA GUILLÉN GARCÍA</t>
  </si>
  <si>
    <t>05285148R</t>
  </si>
  <si>
    <t>ALVALOP SERVICIOS XXI, S.L.U.</t>
  </si>
  <si>
    <t>B36591063</t>
  </si>
  <si>
    <t>RECLAMACIÓN POR SANCIÓN NULA O SUBSIDIARIAMENTE IMPROCEDENTE</t>
  </si>
  <si>
    <t>ZACARIA EL BACHARI</t>
  </si>
  <si>
    <t>X4000771J</t>
  </si>
  <si>
    <t>BRAHIM HADDOUCHI EL BOUSNANI</t>
  </si>
  <si>
    <t>44112399D</t>
  </si>
  <si>
    <t>FUAD HAMED ALI</t>
  </si>
  <si>
    <t>45298239S</t>
  </si>
  <si>
    <t>JOAQUÍN GARCÍA ANGOSTO</t>
  </si>
  <si>
    <t>45314107J</t>
  </si>
  <si>
    <t>CARLOS ALMANSA LEAL Y VALORIZA SERVICIOS MEDIOAMBIENTALES SA</t>
  </si>
  <si>
    <t>45315886K Y A28760692</t>
  </si>
  <si>
    <t>RECONOCIMIENTO DE DERECHO Y RECLAMACIÓN SALARIAL</t>
  </si>
  <si>
    <t>CHAKIB NAJI NAJI</t>
  </si>
  <si>
    <t>32996025H</t>
  </si>
  <si>
    <t>ADAMKAMAL SL</t>
  </si>
  <si>
    <t>B52037157</t>
  </si>
  <si>
    <t>DESPIDO NULO CON VULNERACIÓN DE DERECHOS FUNDAMENTALES Y RECLAMACIÓN DE CANTIDADES</t>
  </si>
  <si>
    <t>NAFISA MOHAMED MOHAMED</t>
  </si>
  <si>
    <t>45305994L</t>
  </si>
  <si>
    <t>TRANSFERLO SL, LOGISTIC EXPRESS ADUANA SLU, LEMALAGA SERVICIOS LOGISTICOS SL, DIRK MANUEL MARTENS JIMENEZ, MELILLA EXPRESS SL, LOGISTIC EXPRESS SL, AGENCIA MERIDA LOGISTICA SL, MACATRANS SL Y CABO EXPRESS SL</t>
  </si>
  <si>
    <t>B29903879, B44995355, B19886621, 78983770E, B29142320, B44803690, B93152171, B51035467 Y B29598307</t>
  </si>
  <si>
    <t>DESPIDO IMPROCEDENTE Y RECLAMACIÓN DE CANTIDADES</t>
  </si>
  <si>
    <t>PAULA VICENTE MARCOS</t>
  </si>
  <si>
    <t>7453718C</t>
  </si>
  <si>
    <t>FEDERICO BURLO DE ROJAS</t>
  </si>
  <si>
    <t>33489971Q</t>
  </si>
  <si>
    <t>CLUB DEPORTIVO ELEMENTAL BALONMANO T-MARAVILLA</t>
  </si>
  <si>
    <t>G52040847</t>
  </si>
  <si>
    <t>SORAYA HADI DUDU</t>
  </si>
  <si>
    <t>45301199P</t>
  </si>
  <si>
    <t>G73038457</t>
  </si>
  <si>
    <t>DESPIDO IMPROCEDENTE Y RECLAMACIÓN SALARIAL</t>
  </si>
  <si>
    <t>45282078T</t>
  </si>
  <si>
    <t>FARID AMED DRIS</t>
  </si>
  <si>
    <t>45308923G</t>
  </si>
  <si>
    <t>A28760692</t>
  </si>
  <si>
    <t>IMPUGNACIÓN DE MODIFICACIÓN SUSTANCIAL DE LAS CONDICIONES DE TRABAJO CON VULNERACIÓN DE DERECHOS FUNDAMENTALES</t>
  </si>
  <si>
    <t>JOSÉ ANTONIO DOMÍNGUEZ MUÑOZ</t>
  </si>
  <si>
    <t>44263941G</t>
  </si>
  <si>
    <t>ALBERTO J. REQUENA POU</t>
  </si>
  <si>
    <t>45295631Y</t>
  </si>
  <si>
    <t>B29954955</t>
  </si>
  <si>
    <t>FERNANDO JOSE OLIVARES AMAYA</t>
  </si>
  <si>
    <t>45306935V</t>
  </si>
  <si>
    <t>JOAQUIN PEDRERO CEBALLOS</t>
  </si>
  <si>
    <t>COOPERATIVA MAESTROS MELILLA (COMAMEL)</t>
  </si>
  <si>
    <t>F29953296</t>
  </si>
  <si>
    <t>RECLAMACION DE DERECHO Y CANTIDAD</t>
  </si>
  <si>
    <t>44264189E</t>
  </si>
  <si>
    <t>TETIANA CHUCHAIEVA CHUCHAIEVA</t>
  </si>
  <si>
    <t>SALOMON SERFATY BITTAN</t>
  </si>
  <si>
    <t>EL CORTE INGLES S.A.</t>
  </si>
  <si>
    <t>A28017895</t>
  </si>
  <si>
    <t>DESPIDO NULO Y RECONOCIMIENTO DE DERECHO</t>
  </si>
  <si>
    <t>Y9292404G</t>
  </si>
  <si>
    <t>45288003Z</t>
  </si>
  <si>
    <t>JUAN JOSE VIÑAS DEL CASTILLO</t>
  </si>
  <si>
    <t>45266987C</t>
  </si>
  <si>
    <t>PROYECTO MELILLA S.A.</t>
  </si>
  <si>
    <t>A29951753</t>
  </si>
  <si>
    <t>RECONOCIMIENTO DE DERECHO Y RECLAMACION DE CANTIDAD</t>
  </si>
  <si>
    <t>MIMOUN EL FOUNTI KOHOUSS</t>
  </si>
  <si>
    <t>60495102L</t>
  </si>
  <si>
    <t>MOHAMED ABDELKADER FATIHA</t>
  </si>
  <si>
    <t>45288425E</t>
  </si>
  <si>
    <t>TOURIYA EL MOURABIT</t>
  </si>
  <si>
    <t>Y8512904C</t>
  </si>
  <si>
    <t>45312120G</t>
  </si>
  <si>
    <t xml:space="preserve"> LA AZOTEA MINAS DEL RIF, S.L.
 ALLAL BOULAATOUR MAACHOU
 SUFIAN BOULAATOUR MAACHOU
</t>
  </si>
  <si>
    <t xml:space="preserve">B52041076
 43995915C 
</t>
  </si>
  <si>
    <t>VULNERACION DE DERECHOS FUNDAMENTALES. RESOLUCION DEL CONTRATO.</t>
  </si>
  <si>
    <t>DANIEL TEBAR CARMONA</t>
  </si>
  <si>
    <t>NABIL EL YOUSSFI</t>
  </si>
  <si>
    <t>Y1616849D</t>
  </si>
  <si>
    <t>CARAI MELILLA S.L.</t>
  </si>
  <si>
    <t>B52021052</t>
  </si>
  <si>
    <t>GUSTAVO ALEJANDRO BRAVO TORCOLETTI</t>
  </si>
  <si>
    <t>43998344B</t>
  </si>
  <si>
    <t>ALMACENES DE PAPEL CASTAÑEDA</t>
  </si>
  <si>
    <t>B52013133</t>
  </si>
  <si>
    <t>ABDESLAM YAHIAOUI</t>
  </si>
  <si>
    <t>X0936142L</t>
  </si>
  <si>
    <t>HEREDEROS DE EMILIO GALLEGO S.L.</t>
  </si>
  <si>
    <t>B52036969</t>
  </si>
  <si>
    <t>RECLAMACION DE CANTIDAD</t>
  </si>
  <si>
    <t>JUAN JOSE JIMENEZ GARBIN</t>
  </si>
  <si>
    <t>45317919F</t>
  </si>
  <si>
    <t>JESUS PAREDES ROBLES</t>
  </si>
  <si>
    <t>45311257S</t>
  </si>
  <si>
    <t>B82297904
B81230252
A48263693</t>
  </si>
  <si>
    <t>B81230252
A48263693</t>
  </si>
  <si>
    <t>ALPHA SISTEMAS DE INFORMACION S.L.
M.R. INFORMATICA S.L.
CONECTICS ICT SERVICES SA-GETRONIC</t>
  </si>
  <si>
    <t>M.R. INFORMATICA S.L.
CONECTICS ICT SERVICES SA-GETRONIC</t>
  </si>
  <si>
    <t>ÁNGEL ESTÉVANEZ CASAS</t>
  </si>
  <si>
    <t>45321008Z</t>
  </si>
  <si>
    <t>M.R. INFORMÁTICA, S.L. Y GETRONIC, S.A.</t>
  </si>
  <si>
    <t>B81230252 Y A48263693</t>
  </si>
  <si>
    <t>DESPIDO CON VULNERACIÓN DE DERECHOS FUNDAMENTALES EN MATERIA DE CESIÓN ILEGAL DE TRABAJADORES CON RECLAMACIÓN DE DIFERENCIAS SALARIALES</t>
  </si>
  <si>
    <t>78946044Q</t>
  </si>
  <si>
    <t>ESGAMING SAU</t>
  </si>
  <si>
    <t>A86303773</t>
  </si>
  <si>
    <t>MIRIAM CARMONA BETANCOR</t>
  </si>
  <si>
    <t>42226973P</t>
  </si>
  <si>
    <t>RENVERSE SL</t>
  </si>
  <si>
    <t>B20781969</t>
  </si>
  <si>
    <t>FATIMA ZAHRA ELMIRABET</t>
  </si>
  <si>
    <t>Y8082528C</t>
  </si>
  <si>
    <t>B06806624</t>
  </si>
  <si>
    <t>JAVIER NÚÑEZ SUÁREZ</t>
  </si>
  <si>
    <t>45314172D</t>
  </si>
  <si>
    <t>JOSÉ MARÍA IGNACIO SÁNCHEZ CHOLBI</t>
  </si>
  <si>
    <t>45269826F</t>
  </si>
  <si>
    <t>MR INFORMÁTICA, S.L.</t>
  </si>
  <si>
    <t>B81230252</t>
  </si>
  <si>
    <t>GEMA MARÍA ZAPATA GIL</t>
  </si>
  <si>
    <t>45303176F</t>
  </si>
  <si>
    <t>RB DENTAL SL</t>
  </si>
  <si>
    <t>B5203926</t>
  </si>
  <si>
    <t>CLASIFICACIÓN PROFESIONAL Y DIFERENCIAS SALARIALES</t>
  </si>
  <si>
    <t>MUSTAFA BENAISA MOHAMED</t>
  </si>
  <si>
    <t>45283737A</t>
  </si>
  <si>
    <t>SALZILLO SERVICIOS INTEGRALES, S.L.</t>
  </si>
  <si>
    <t>B73589814</t>
  </si>
  <si>
    <t>IGNACIO JOSÉ MÁS MOHAMED</t>
  </si>
  <si>
    <t>45317586L</t>
  </si>
  <si>
    <t>GEMA FERRER RODRÍGUEZ</t>
  </si>
  <si>
    <t>45300109E</t>
  </si>
  <si>
    <t>JYSK DBL IBERIA, S.L.</t>
  </si>
  <si>
    <t>B64935604</t>
  </si>
  <si>
    <t>DESPIDO NULO O SUBSIDIARIAMENTE IMPROCEDENTE</t>
  </si>
  <si>
    <t>ASMA ROUDANE MOHAMED</t>
  </si>
  <si>
    <t>45293008M</t>
  </si>
  <si>
    <t>CARAI MELILLA, S.L.</t>
  </si>
  <si>
    <t>MALIKA BACHIR HAMIDA</t>
  </si>
  <si>
    <t>45283341K</t>
  </si>
  <si>
    <t>CATERING LA HACIENDA, S.L.</t>
  </si>
  <si>
    <t>B97254403</t>
  </si>
  <si>
    <t>AHMED RUBIERA AHMED</t>
  </si>
  <si>
    <t>45316280R</t>
  </si>
  <si>
    <t>ACADEMIA SOCE, S.L.</t>
  </si>
  <si>
    <t>B51000131</t>
  </si>
  <si>
    <t>MARÍA DOLORES CABRERA BOLAÑOS</t>
  </si>
  <si>
    <t>45301370H</t>
  </si>
  <si>
    <t>JYSK DBL IBERIA SL</t>
  </si>
  <si>
    <t>SOURIA ACHAHBOUN ROTBI</t>
  </si>
  <si>
    <t xml:space="preserve">HANAN BENKADDOU MUSTAFA </t>
  </si>
  <si>
    <t>44109873J</t>
  </si>
  <si>
    <t xml:space="preserve">45307322J </t>
  </si>
  <si>
    <t>SAMIRA RAHMANI MOHAMED</t>
  </si>
  <si>
    <t>45315006S</t>
  </si>
  <si>
    <t>DAVID MARÍN SÁNCHEZ</t>
  </si>
  <si>
    <t>45316553K</t>
  </si>
  <si>
    <t>RECONOCIMIENTO DE DERECHO Y RECLAMACIÓN DE CANTIDAD</t>
  </si>
  <si>
    <t>MOHATAR BEN CHAIB BOUTAHAR, RADUAN HAMIDA MIMUN, BORFA AMAR CHAIB, KARIM MOHAMED MOHAMED Y MOHAMED ABDESLAM MOHAMED</t>
  </si>
  <si>
    <t>45281174Q, 45298688G, 45269301B, 45295362J Y 45287156H</t>
  </si>
  <si>
    <t>MIGUEL BAROJA DÍAZ, EULEN, S.A., HÉRCULES SERVICIOS GENERALES INTEGRALES Y REFORMAS MUSTAFA, S.L.U.</t>
  </si>
  <si>
    <t>45297076W, A28517308, B51025591 Y B52019957</t>
  </si>
  <si>
    <t>CESIÓN DE MANO DE OBRA Y RECLAMACIÓN SALARIAL</t>
  </si>
  <si>
    <t>JAVIER RAMOS BENGUIGUI</t>
  </si>
  <si>
    <t>45286760J</t>
  </si>
  <si>
    <t xml:space="preserve">ABDERRAZAK BELLAHSEN </t>
  </si>
  <si>
    <t xml:space="preserve">X7143307J </t>
  </si>
  <si>
    <t>SAID TOUHOU</t>
  </si>
  <si>
    <t>X3567237Y</t>
  </si>
  <si>
    <t>ABDELKARIM AKOUDAD</t>
  </si>
  <si>
    <t>X2103735V</t>
  </si>
  <si>
    <t>MELILLA EXPRESS, S.L., TRANFERLO, S.L., LOGISTIC EXPRESS ADUANA, SLU, LEMALAGA SERVICIOS LOGISTICOS SL, DIRK MANUEL MARTENS JIMENEZ, LOGISTIC EXPRESS SL, AGENCIA MERIDA LOGISTICA SL, MACATRANS SL Y CABO EXPRESS SL</t>
  </si>
  <si>
    <t>B29142320, B29903879, B44995355, B19886621, 78983770E, B44803690, B93152171, B51035467 Y B29598307</t>
  </si>
  <si>
    <t>HAKIM ASLIMAN RAISS</t>
  </si>
  <si>
    <t>42274096G</t>
  </si>
  <si>
    <t>ABELMAYID SAID DRIS</t>
  </si>
  <si>
    <t>45281472S</t>
  </si>
  <si>
    <t>MELILLA EXPRESS SL</t>
  </si>
  <si>
    <t>B29142320</t>
  </si>
  <si>
    <t>INDEMNIZACIÓN DE DAÑOS Y PERJUICIOS DERIVADOS DE ACCIDENTE DE TRABAJO</t>
  </si>
  <si>
    <t>ESTEFANIA PERPEN MUÑOZ</t>
  </si>
  <si>
    <t>45297802S</t>
  </si>
  <si>
    <t>JOAQUIN  GARCÍA ANGOSTO</t>
  </si>
  <si>
    <t>SUPERNOVA ASISTENCIAS SLU</t>
  </si>
  <si>
    <t>B94011665</t>
  </si>
  <si>
    <t>CESIÓN ILEGAL Y RECLAMACIÓN SALARIAL</t>
  </si>
  <si>
    <t>FARIDA BELHUMAN MOHAMED</t>
  </si>
  <si>
    <t>45282311A</t>
  </si>
  <si>
    <t>OHL SERVICIOS INGESAN SA</t>
  </si>
  <si>
    <t>A27178789</t>
  </si>
  <si>
    <t>RESOLUCIÓN DEL CONTRATO DE TRABAJO</t>
  </si>
  <si>
    <t>TATIANA CHUCHAIEVA CHUCHAIEVA</t>
  </si>
  <si>
    <t>NADIR AZZIYANI EL IDRISSI</t>
  </si>
  <si>
    <t>FABRICA DE PELLET MELILLA SL</t>
  </si>
  <si>
    <t>B06844245</t>
  </si>
  <si>
    <t>RECLAMACIÓN DE CANTIDAD</t>
  </si>
  <si>
    <t>45273636E</t>
  </si>
  <si>
    <t>EULEN SEGURIDAD SA</t>
  </si>
  <si>
    <t>A28369395</t>
  </si>
  <si>
    <t>JOSÉ MANUEL ESPINOSA JIMÉNEZ</t>
  </si>
  <si>
    <t>45286510Q</t>
  </si>
  <si>
    <t>ENRIQUE ALCOBA VIZCAÍNO</t>
  </si>
  <si>
    <t>45306530A</t>
  </si>
  <si>
    <t>TECNOLOGÍAS Y SERVICIOS AGRARIOS, S.A.S.</t>
  </si>
  <si>
    <t>A79365821</t>
  </si>
  <si>
    <t>MODIFICACIÓN SUSTANCIAL DE CONDICIONES DE TRABAJO</t>
  </si>
  <si>
    <t>04/01/2025 (Registro 13/01/2025)</t>
  </si>
  <si>
    <t>MERCEDES ESPIÑEIRA FERNÁNDEZ</t>
  </si>
  <si>
    <t>45278406P</t>
  </si>
  <si>
    <t>VÍCTOR REYES DOMÍNGUEZ</t>
  </si>
  <si>
    <t>25342214D</t>
  </si>
  <si>
    <t>KOALA SOLUCIONES EDUCATIVAS, S.A. Y CLECE, S.A.</t>
  </si>
  <si>
    <t>A87045423 Y A80364243</t>
  </si>
  <si>
    <t>JUANA CARRO MOLE</t>
  </si>
  <si>
    <t>45268299K</t>
  </si>
  <si>
    <t>CRISTINA MAYOR LEÓN</t>
  </si>
  <si>
    <t>45318679P</t>
  </si>
  <si>
    <t>VANESA LAGO GONZÁLEZ</t>
  </si>
  <si>
    <t>45306232G</t>
  </si>
  <si>
    <t>MARÍA DOLORES BARBA CASTELLANOS</t>
  </si>
  <si>
    <t>45280897S</t>
  </si>
  <si>
    <t>ELENA POZO RIVAS</t>
  </si>
  <si>
    <t>45292634E</t>
  </si>
  <si>
    <t>NURIA MARTÍNEZ ALAHIJA HERNÁNDEZ</t>
  </si>
  <si>
    <t>45304368A</t>
  </si>
  <si>
    <t>ESPERANZA LÓPEZ DOMÍNGUEZ</t>
  </si>
  <si>
    <t>45310832G</t>
  </si>
  <si>
    <t>MOHAMED MHAMED MOHAND</t>
  </si>
  <si>
    <t>45296013C</t>
  </si>
  <si>
    <t>MERCADONA SA</t>
  </si>
  <si>
    <t>A46103834</t>
  </si>
  <si>
    <t>SAID EL BACHIRI BACHIRI</t>
  </si>
  <si>
    <t>45318607M</t>
  </si>
  <si>
    <t>ABDELMAYID SAID DRIS</t>
  </si>
  <si>
    <t>BUNKER MOTOR, S.L.</t>
  </si>
  <si>
    <t>B29963485</t>
  </si>
  <si>
    <t>JUAN ANTONIO PADILLA LEÓN</t>
  </si>
  <si>
    <t>45276662N</t>
  </si>
  <si>
    <t>FARID AHMED DRIS</t>
  </si>
  <si>
    <t>RECLMACIÓN DE INDEMNIZACIÓN POR ACCIDENTE LABORAL</t>
  </si>
  <si>
    <t>MARÍA DEL CARMEN MATEOS BARQUERO</t>
  </si>
  <si>
    <t>45282383Y</t>
  </si>
  <si>
    <t>JOAQUÍN PEDRERO CEBALLOS</t>
  </si>
  <si>
    <t>ABDERRAHIM DABDAB</t>
  </si>
  <si>
    <t>X1777942L</t>
  </si>
  <si>
    <t>MARÍTIMA PEREGAR SA</t>
  </si>
  <si>
    <t>A29901915</t>
  </si>
  <si>
    <t>FARAH BOULAADAS EL AUSROUTI</t>
  </si>
  <si>
    <t>12491060J</t>
  </si>
  <si>
    <t>MANUELA NICOLÁS VIGUERAS</t>
  </si>
  <si>
    <t>45257661D</t>
  </si>
  <si>
    <t>MALIKA HAMMOU MOHAND</t>
  </si>
  <si>
    <t>45291163T</t>
  </si>
  <si>
    <t>TALHER S.A.</t>
  </si>
  <si>
    <t>A08602815</t>
  </si>
  <si>
    <t>ABUBAKAR MOHAMED LAHBIB</t>
  </si>
  <si>
    <t>45316761E</t>
  </si>
  <si>
    <t>BUYISOL WASH S.L.</t>
  </si>
  <si>
    <t>B67939637</t>
  </si>
  <si>
    <t>JUAN MIGUEL FIDEL MEDERO</t>
  </si>
  <si>
    <t>45298440D</t>
  </si>
  <si>
    <t>ARTRA SERVICIOS CORPORATIVOS S.L.</t>
  </si>
  <si>
    <t>45280786L</t>
  </si>
  <si>
    <t>CARMELO MARTINEZ RODRIGUEZ S.L</t>
  </si>
  <si>
    <t>B29905940</t>
  </si>
  <si>
    <t>Z0560008D</t>
  </si>
  <si>
    <t>45276872S</t>
  </si>
  <si>
    <t>SERGLOBIN S.L.</t>
  </si>
  <si>
    <t>RAFAEL ACEBAL MANCHEÑO</t>
  </si>
  <si>
    <t>B52005600</t>
  </si>
  <si>
    <t>MANUEL ANTONIO QUINTERO PEREZ</t>
  </si>
  <si>
    <t>CC 1/2025</t>
  </si>
  <si>
    <t>ASOCIACION DE EMPRESARIOS DE TALLERES Y REPARACIÓN DE AUTOMÓVILES</t>
  </si>
  <si>
    <t>ASOCIACION DE EMPRESARIOS DE INSTALADORES Y MANTENDEDORES DE MELILLA
SINDICATO CCOO
 FEDERACIÓN DE INDUSTRIA, CONSTRUCCIÓN Y AGRO-UGT</t>
  </si>
  <si>
    <t>FRANCISCO JAVIER PADILLA CONESA</t>
  </si>
  <si>
    <t>45272828L</t>
  </si>
  <si>
    <t>ERICA CRISTINA ALFONSO DELGADO</t>
  </si>
  <si>
    <t>TAHIS MARIA FERNANDEZ LOPEZ</t>
  </si>
  <si>
    <t>26807880T</t>
  </si>
  <si>
    <t>ASOC. TRASTORNO DE ESPECTRO AUTISTA MELILLA (TEAMA)</t>
  </si>
  <si>
    <t>G52030327</t>
  </si>
  <si>
    <t>ENRIQUE RUIZ BARRANCO</t>
  </si>
  <si>
    <t>45276626E</t>
  </si>
  <si>
    <t>MARÍA DOLORES LÓPEZ GUARDIA</t>
  </si>
  <si>
    <t>24256072L</t>
  </si>
  <si>
    <t>SUPERSOL SPAIN SL</t>
  </si>
  <si>
    <t>B86310521</t>
  </si>
  <si>
    <t>IMPUGNACIÓN SANCION</t>
  </si>
  <si>
    <t>SOLIMAN MOHAMED MOHAND</t>
  </si>
  <si>
    <t>45299259T</t>
  </si>
  <si>
    <t>SEGURIDAD INTEGRAL SECOEX S.A.</t>
  </si>
  <si>
    <t>A06072979</t>
  </si>
  <si>
    <t>MODIFICACIÓN SUSTANCIAL DE CONDICIONES DE TRABAJO Y CANTIDAD</t>
  </si>
  <si>
    <t>MIMOUN KRACH KADIRI</t>
  </si>
  <si>
    <t>45324143K</t>
  </si>
  <si>
    <t>CALDERERÍAS INDÁLICAS S.L.
ALLIANZ COMPAÑÍA DE SEGUROS Y REASEGUROS S.A.</t>
  </si>
  <si>
    <t>B04196952
A28007748</t>
  </si>
  <si>
    <t>MARÍA LYDIA CASTILLO VALDUEZA</t>
  </si>
  <si>
    <t>45267988D</t>
  </si>
  <si>
    <t>PROYECTO MELILLA SA</t>
  </si>
  <si>
    <t>ABDELKADER ARMILI</t>
  </si>
  <si>
    <t>X3369176K</t>
  </si>
  <si>
    <t>ZAFIRO SL</t>
  </si>
  <si>
    <t>B29903358</t>
  </si>
  <si>
    <t>RECLAMACIÓN DE CANTIDADES</t>
  </si>
  <si>
    <t>MIMOUN AKODAD ATCHAKAR</t>
  </si>
  <si>
    <t>01662703X</t>
  </si>
  <si>
    <t>ESTRUCTURAS ESTÉVEZ MELILLA SLU</t>
  </si>
  <si>
    <t>B52016227</t>
  </si>
  <si>
    <t>MOHAMED ABIBOU NANE</t>
  </si>
  <si>
    <t>60176673W</t>
  </si>
  <si>
    <t>FATIHA MOHAMED ABDELKADER</t>
  </si>
  <si>
    <t>DUNIA AMAR KADDUR</t>
  </si>
  <si>
    <t>45300497L</t>
  </si>
  <si>
    <t>PROYECTOS EMPRESARIALES Y SERVICIOS MALIKA SLU Y ENRIQUE VALLEJO GONZÁLEZ</t>
  </si>
  <si>
    <t>B52008554 Y 45271123Q</t>
  </si>
  <si>
    <t>DAMARIS PILAR MENDEZ SANCHEZ</t>
  </si>
  <si>
    <t>45316171F</t>
  </si>
  <si>
    <t>APPS MOBILE CYM SL</t>
  </si>
  <si>
    <t>B72393499</t>
  </si>
  <si>
    <t>BILEL KADDUR MOHAMED</t>
  </si>
  <si>
    <t>45310025W</t>
  </si>
  <si>
    <t>COINTELEF MÁLAGA, S.L.</t>
  </si>
  <si>
    <t>B296554100</t>
  </si>
  <si>
    <t>LLUNAIDA HAMED MOHAMED</t>
  </si>
  <si>
    <t>45303576Q</t>
  </si>
  <si>
    <t>NAUAT BUZZIAN ABDESLAM</t>
  </si>
  <si>
    <t>45305322Z</t>
  </si>
  <si>
    <t>MIGUEL LEAL MARTÍNEZ E HIJOS, S.L.</t>
  </si>
  <si>
    <t>B52035284</t>
  </si>
  <si>
    <t xml:space="preserve">DESPIDO CON VULNERACIÓN DE DERECHOS FUNDAMENTALES </t>
  </si>
  <si>
    <t>13/02/205</t>
  </si>
  <si>
    <t>D. ANTONIO RUIZ GONZÁLEZ</t>
  </si>
  <si>
    <t>ALBERTO JOSÉ REQUENA POU</t>
  </si>
  <si>
    <t>45271312K</t>
  </si>
  <si>
    <t>BALTASAR MARTÍN E HIJOS S.A</t>
  </si>
  <si>
    <t>A29904521</t>
  </si>
  <si>
    <t>D. DANIEL RUIZ CERPA</t>
  </si>
  <si>
    <t>49059598T</t>
  </si>
  <si>
    <t>JOAQUÍN AZNAR GUERRA</t>
  </si>
  <si>
    <t>45303992H</t>
  </si>
  <si>
    <t>RESOLUCIÓN DE CONTRATO Y RECLAMACIÓN SALARIAL</t>
  </si>
  <si>
    <t>PEDRO GUERRERO MORENO</t>
  </si>
  <si>
    <t>45276977M</t>
  </si>
  <si>
    <t>MARTA ALONSO SALGADO</t>
  </si>
  <si>
    <t>45310549C</t>
  </si>
  <si>
    <t>B30376982</t>
  </si>
  <si>
    <t>RECLAMACIÓN DE CANTIDAD Y RECONOCIMIENTO DE DERECHO</t>
  </si>
  <si>
    <t>JOSÉ SÁNCHEZ ANDÚJAR</t>
  </si>
  <si>
    <t>45278810K</t>
  </si>
  <si>
    <t>FUNDACIÓN LABORAL DE LA CONSTRUCCIÓN</t>
  </si>
  <si>
    <t>JOSÉ LUIS LEÓN MARCOS</t>
  </si>
  <si>
    <t>27304753G</t>
  </si>
  <si>
    <t>ADVANCE MULTISERVICIOS</t>
  </si>
  <si>
    <t>B42791418</t>
  </si>
  <si>
    <t>RECLAMACIÓN DE CUOTAS ADEUDADAS</t>
  </si>
  <si>
    <t>AIT LHAJ HICHAM</t>
  </si>
  <si>
    <t>AZZIZI AOURACHE MOHAMED</t>
  </si>
  <si>
    <t>45357345B</t>
  </si>
  <si>
    <t>Y2899457E</t>
  </si>
  <si>
    <t>ASTITOU SOUFIAN</t>
  </si>
  <si>
    <t>X9084314G</t>
  </si>
  <si>
    <t>BENDRISS ABDELLATIF</t>
  </si>
  <si>
    <t>Y1046058D</t>
  </si>
  <si>
    <t>CHEMLAL YACHOU EL HASSAN MHAME</t>
  </si>
  <si>
    <t>45319307S</t>
  </si>
  <si>
    <t>CONSTRUCCIONES BERENGUEL CARRILLO, S.L.</t>
  </si>
  <si>
    <t>B04748216</t>
  </si>
  <si>
    <t>CONSTRUCCIONES HERMANOS BERENGUEL S XXI</t>
  </si>
  <si>
    <t>B52036647</t>
  </si>
  <si>
    <t>EBN ALALL MOHAMED</t>
  </si>
  <si>
    <t>44071458P</t>
  </si>
  <si>
    <t>CONSTRUCCIONES YEL LUL SC</t>
  </si>
  <si>
    <t>J52034774</t>
  </si>
  <si>
    <t>FGS GESTIÓN DE PROYECTOS DE CONSTRUCCIÓN, S.L.</t>
  </si>
  <si>
    <t>B52034519</t>
  </si>
  <si>
    <t>GRUPO LUNA MELILLA, S.L.</t>
  </si>
  <si>
    <t>B52034980</t>
  </si>
  <si>
    <t>HACH HADI HASSAN NUREDIN</t>
  </si>
  <si>
    <t>45301293X</t>
  </si>
  <si>
    <t>HALLI SALAH</t>
  </si>
  <si>
    <t>X3799774J</t>
  </si>
  <si>
    <t>HEREDEROS DE EMILIO ARROYO GALLE</t>
  </si>
  <si>
    <t>B52034709</t>
  </si>
  <si>
    <t>LAYHA LUNA SL</t>
  </si>
  <si>
    <t>B52038254</t>
  </si>
  <si>
    <t>LUNAMAR BUARFA SAID SL</t>
  </si>
  <si>
    <t>B52029576</t>
  </si>
  <si>
    <t>KAMAR YAHYA</t>
  </si>
  <si>
    <t>X1458615R</t>
  </si>
  <si>
    <t>MARCHICA STARTRONIC SL</t>
  </si>
  <si>
    <t xml:space="preserve">B52042231
</t>
  </si>
  <si>
    <t>MELIREP SL</t>
  </si>
  <si>
    <t>B52002508</t>
  </si>
  <si>
    <t>MOH MOHAMED MOHAMED</t>
  </si>
  <si>
    <t>45282520M</t>
  </si>
  <si>
    <t>MOHAMED HAMED ANISA</t>
  </si>
  <si>
    <t>45314499Z</t>
  </si>
  <si>
    <t>PROMECO 2000 SL</t>
  </si>
  <si>
    <t>B29963675</t>
  </si>
  <si>
    <t>SERVICIOS ELÉCTRICOS Y AUDIOVISUALES ML SL</t>
  </si>
  <si>
    <t>B52009487</t>
  </si>
  <si>
    <t>TAHRAOUI AHMED</t>
  </si>
  <si>
    <t>X1727399F</t>
  </si>
  <si>
    <t>URGACEN VIENA 25 SL</t>
  </si>
  <si>
    <t>B30850838</t>
  </si>
  <si>
    <t>SAID AOMAR MIMUN</t>
  </si>
  <si>
    <t>45291550L</t>
  </si>
  <si>
    <t>ALMACENES DE ALIMENTACIÓN MELILLENSE, S.L.</t>
  </si>
  <si>
    <t>B52010824</t>
  </si>
  <si>
    <t>LAILA AANAN MIMUN</t>
  </si>
  <si>
    <t>45302962T</t>
  </si>
  <si>
    <t>RECLAMACIÓN DE DERECHOS</t>
  </si>
  <si>
    <t>NADIA EL KINANI EL MANTAR</t>
  </si>
  <si>
    <t>45324135J</t>
  </si>
  <si>
    <t>CRISTINA FERNÁNDEZ PEÑARROYA</t>
  </si>
  <si>
    <t>45299843D</t>
  </si>
  <si>
    <t>VERÓNICA LAGO GONZÁLEZ</t>
  </si>
  <si>
    <t>45300092M</t>
  </si>
  <si>
    <t>LAURA PATRICIA SÁNCHEZ RAMÍREZ</t>
  </si>
  <si>
    <t>45290468H</t>
  </si>
  <si>
    <t>MARÍA DEL MAR MONSERRAT GUTIÉRREZ</t>
  </si>
  <si>
    <t>45282148R</t>
  </si>
  <si>
    <t>MARÍA DOLORES JIMÉNEZ SOLER</t>
  </si>
  <si>
    <t>45271060E</t>
  </si>
  <si>
    <t>G80468416</t>
  </si>
  <si>
    <t>SARA RUIZ IDRISSI</t>
  </si>
  <si>
    <t>45321046Y</t>
  </si>
  <si>
    <t>JOAQUIN GARCIA ANGOSTO</t>
  </si>
  <si>
    <t>PARADORES DE TURISMO DE ESPAÑA SME SA</t>
  </si>
  <si>
    <t>A79855201</t>
  </si>
  <si>
    <t>OSCAR CARREÑO CASABONA</t>
  </si>
  <si>
    <t>45291699F</t>
  </si>
  <si>
    <t xml:space="preserve">VICENTE MIGUEL AGUERA AGUILERA </t>
  </si>
  <si>
    <t>45306620R</t>
  </si>
  <si>
    <t>PROSEGUR SOLUCIONES INTEGRALES SEGURIDAD S.L.</t>
  </si>
  <si>
    <t>B87222014</t>
  </si>
  <si>
    <t xml:space="preserve">RECONOCIMIENTO DE DERECHO CON TUTELA DE DERECHOS FUNDAMENTALES </t>
  </si>
  <si>
    <t>NATALIA LÓPEZ PEREGRINA</t>
  </si>
  <si>
    <t>45318052W</t>
  </si>
  <si>
    <t>MOHAMED ZIZAOUI</t>
  </si>
  <si>
    <t>X1225040Z</t>
  </si>
  <si>
    <t>ANA ROSA LAMAS NAVARRO</t>
  </si>
  <si>
    <t>45309752M</t>
  </si>
  <si>
    <t>MARÍA ESPERANZA GALARRAGA DURÁN</t>
  </si>
  <si>
    <t>45307563R</t>
  </si>
  <si>
    <t>AURELIA SORIANO RAMÓN</t>
  </si>
  <si>
    <t>45305454P</t>
  </si>
  <si>
    <t>ASOCIACIÓN DE FAMILIARES DE ENFERMOS DE ALZHEIMER</t>
  </si>
  <si>
    <t>G29962412</t>
  </si>
  <si>
    <t>SANDRA ESCOBAR GÓMEZ</t>
  </si>
  <si>
    <t>45355544G</t>
  </si>
  <si>
    <t>HALIMA EL AICHI</t>
  </si>
  <si>
    <t>REALE SEGUROS GENERALES, S.A.</t>
  </si>
  <si>
    <t>A78520293</t>
  </si>
  <si>
    <t>KEMEL AHMED MEHAND</t>
  </si>
  <si>
    <t>45310304M</t>
  </si>
  <si>
    <t>VERSUS ONLINE, S.A.</t>
  </si>
  <si>
    <t>A73733016</t>
  </si>
  <si>
    <t>MÓNICA SÁNCHEZ MAROTO</t>
  </si>
  <si>
    <t>52377867J</t>
  </si>
  <si>
    <t>AGENCIA MÉRIDA LOGÍSTICA</t>
  </si>
  <si>
    <t>B93152171</t>
  </si>
  <si>
    <t>FATIMA BENAISA RAMI</t>
  </si>
  <si>
    <t>45309820G</t>
  </si>
  <si>
    <t>CHEMARA RUSADIR SLU</t>
  </si>
  <si>
    <t>B52015526</t>
  </si>
  <si>
    <t>ABDELKADER MHAMED ALI</t>
  </si>
  <si>
    <t>45303232V</t>
  </si>
  <si>
    <t>CONSTRUCCIONES CREACIÓN HOME, S.L.</t>
  </si>
  <si>
    <t>B44703171</t>
  </si>
  <si>
    <t>MOHAMED FRAJI</t>
  </si>
  <si>
    <t>TL5129639</t>
  </si>
  <si>
    <t>RECONOCIMIENTO DE DERECHO Y DESPIDO</t>
  </si>
  <si>
    <t>SALAH EDDINE HIMMICH EL MANSOURI</t>
  </si>
  <si>
    <t>26261816W</t>
  </si>
  <si>
    <t>LEROY MERLIN SLU</t>
  </si>
  <si>
    <t>B84818442</t>
  </si>
  <si>
    <t>CARMEN CASTILLO ORTIZ</t>
  </si>
  <si>
    <t>45295461C</t>
  </si>
  <si>
    <t>A80364243</t>
  </si>
  <si>
    <t>HAFIDA MALSAK</t>
  </si>
  <si>
    <t>YA3520759</t>
  </si>
  <si>
    <t>MIMON AMARUCH HASSAN</t>
  </si>
  <si>
    <t>45292078H</t>
  </si>
  <si>
    <t>C.C. 2/2025</t>
  </si>
  <si>
    <t>JUAN MANUEL CRUCES GALIANO Y 2 MÁS</t>
  </si>
  <si>
    <t>45273839 H Y 2 MÁS</t>
  </si>
  <si>
    <t>AENA SME SA Y JOSÉ ANTONIO MÉNDEZ LEÓN</t>
  </si>
  <si>
    <t>A86212420Y 45276985J</t>
  </si>
  <si>
    <t>PAULINO PUERTO CANALEJO</t>
  </si>
  <si>
    <t>45297815M</t>
  </si>
  <si>
    <t>RECLAMACIÓN DE CANTIDAD POR IMPAGO DE SALARIOS</t>
  </si>
  <si>
    <t>ENCARNACIÓN MARTÍNEZ BLANCO</t>
  </si>
  <si>
    <t>29179006X</t>
  </si>
  <si>
    <t>SOUKAINA QEBBAB AIT HMIMID</t>
  </si>
  <si>
    <t>60693416G</t>
  </si>
  <si>
    <t>ENRIQUE ALCOBA RUIZ</t>
  </si>
  <si>
    <t>45269241C</t>
  </si>
  <si>
    <t>DESPIDO NULO, SUBSIDIARIAMENTE IMPROCEDENTE</t>
  </si>
  <si>
    <t>ANA MARÍA PEREGRÍN SÁNCHEZ</t>
  </si>
  <si>
    <t>45285693G</t>
  </si>
  <si>
    <t>B05254859, B05254859 Y B2996345</t>
  </si>
  <si>
    <t>BE CALL BPO SL, AVILON CENTER 2016 SL Y SISTEMAS INTERACTIVOS MULTIMEDIA SL</t>
  </si>
  <si>
    <t>WALID MOHTAR AMAR</t>
  </si>
  <si>
    <t>45305894B</t>
  </si>
  <si>
    <t>PATRICIA SOLER RÁBAGO</t>
  </si>
  <si>
    <t>23063288S</t>
  </si>
  <si>
    <t>MOHAMEDI ABDELKADER MOHAMED</t>
  </si>
  <si>
    <t>45300398N</t>
  </si>
  <si>
    <t>45298356V</t>
  </si>
  <si>
    <t>EULEN, S.A. Y OHL SERVICIOS INGESAN, S.A.</t>
  </si>
  <si>
    <t>A28517308 Y A27178789</t>
  </si>
  <si>
    <t>MUSA MOHAMED AMAR</t>
  </si>
  <si>
    <t>45304270C</t>
  </si>
  <si>
    <t>ORENES</t>
  </si>
  <si>
    <t>A87114658</t>
  </si>
  <si>
    <t>MARTA NARANJO FERNÁNDEZ</t>
  </si>
  <si>
    <t>50748360X</t>
  </si>
  <si>
    <t>INTER VOCATIONAL TRAINING SL</t>
  </si>
  <si>
    <t>ZOUBIDA AZIRAR ABARRAK</t>
  </si>
  <si>
    <t>45355510Q</t>
  </si>
  <si>
    <t>JAMILA ALLALI BOUDIAF</t>
  </si>
  <si>
    <t>44106192N</t>
  </si>
  <si>
    <t>VICENTE MIGUEL AGÜERA AGUILERA</t>
  </si>
  <si>
    <t>MOHAMED AMAR CHAIB</t>
  </si>
  <si>
    <t>45284644J</t>
  </si>
  <si>
    <t>RECLAMACIÓN DE DERECHO Y CANTIDAD</t>
  </si>
  <si>
    <t>RAQUEL DELGADO HERNÁNDEZ</t>
  </si>
  <si>
    <t>15427003Y</t>
  </si>
  <si>
    <t>SOCIEDAD ESTATAL CORREOS Y TELÉGRAFOS, S.A.</t>
  </si>
  <si>
    <t>A83052407</t>
  </si>
  <si>
    <t>IMPUGNACIÓN DE SANCIÓN Y TUTELA DE DERECHOS FUNDAMENTALES</t>
  </si>
  <si>
    <t>DANIEL POLLI MARTÍN</t>
  </si>
  <si>
    <t>45319104L</t>
  </si>
  <si>
    <t>ANTONIO MANUEL MULLOR RAMOS</t>
  </si>
  <si>
    <t>45307873N</t>
  </si>
  <si>
    <t>44070613Z</t>
  </si>
  <si>
    <t>SAID AARROUJ ABDELLAH</t>
  </si>
  <si>
    <t>45315487J</t>
  </si>
  <si>
    <t>NEWEL SALAH HADDU</t>
  </si>
  <si>
    <t>45296811J</t>
  </si>
  <si>
    <t>454314107J</t>
  </si>
  <si>
    <t>MARÍA DEL CARMEN JIMÉNEZ FERNÁNDEZ</t>
  </si>
  <si>
    <t>45277787X</t>
  </si>
  <si>
    <t>JOSEFA RODRÍGUEZ DÍAZ</t>
  </si>
  <si>
    <t>33417644R</t>
  </si>
  <si>
    <t>LAURA ILUMINADA ÁLAMO ALMANSA</t>
  </si>
  <si>
    <t>45314059B</t>
  </si>
  <si>
    <t>JESÚS MARÍA MÁRQUEZ GÓMEZ</t>
  </si>
  <si>
    <t>45295298H</t>
  </si>
  <si>
    <t>MARÍA ÁLVAREZ PALOMO</t>
  </si>
  <si>
    <t>45319377Q</t>
  </si>
  <si>
    <t>PEDRO ABAD LÓPEZ</t>
  </si>
  <si>
    <t>45275623P</t>
  </si>
  <si>
    <t>DESPIDO NULO, INDEMNIZACIÓN DE DAÑOS Y PERJUICIOS Y RECLAMACIÓN DE CANTIDADES</t>
  </si>
  <si>
    <t>TERESA ÁLVAREZ PALOMO</t>
  </si>
  <si>
    <t>45319378V</t>
  </si>
  <si>
    <t>ANDRÉS LIZANA NAVARRO</t>
  </si>
  <si>
    <t>45288343D</t>
  </si>
  <si>
    <t>SECOEX, S.A.</t>
  </si>
  <si>
    <t>SEMIA MOHAMED HAMED</t>
  </si>
  <si>
    <t>45288893F</t>
  </si>
  <si>
    <t>JOCRED MELILLA, S.L.</t>
  </si>
  <si>
    <t>B52007937</t>
  </si>
  <si>
    <t>DANIEL LÓPEZ JIMÉNEZ</t>
  </si>
  <si>
    <t>45301594N</t>
  </si>
  <si>
    <t>SORAYA BILBAO MEHDI</t>
  </si>
  <si>
    <t>45297993E</t>
  </si>
  <si>
    <t>RESOLUCIÓN INDEMNIZADA DEL CONTRATO DE TRABAJO Y RECLAMACIÓN DE CANTIDAD</t>
  </si>
  <si>
    <t>SAMIRA MOHAMED AOMAR</t>
  </si>
  <si>
    <t>45297715C</t>
  </si>
  <si>
    <t>DINA ABDESELAM HAMED</t>
  </si>
  <si>
    <t>45294037E</t>
  </si>
  <si>
    <t>BÁRBARA MARTÍNEZ RODRÍGUEZ</t>
  </si>
  <si>
    <t>45321519L</t>
  </si>
  <si>
    <t>MELMATIC, S.L.</t>
  </si>
  <si>
    <t>TAMARA ORTIZ AYUSO</t>
  </si>
  <si>
    <t>51008149Z</t>
  </si>
  <si>
    <t>B21319777</t>
  </si>
  <si>
    <t>MANUEL EMILIO GÓMEZ FERNÁNDEZ</t>
  </si>
  <si>
    <t>29790738B</t>
  </si>
  <si>
    <t>RAFIK ACHHOUD MOHAMED</t>
  </si>
  <si>
    <t>45308521Q</t>
  </si>
  <si>
    <t>MOHAMED AMAINE OUCHEN</t>
  </si>
  <si>
    <t>44106516Z</t>
  </si>
  <si>
    <t>HOST-TC MELILLA, S.L.</t>
  </si>
  <si>
    <t>B52026192</t>
  </si>
  <si>
    <t>IMPUGNACIÓN DE DESPIDO Y RECLAMACIÓN DE CANTIDADES</t>
  </si>
  <si>
    <t>NORA MARTÍN SÁNCHEZ</t>
  </si>
  <si>
    <t>45309397H</t>
  </si>
  <si>
    <t>DECATHLON ESPAÑA, S.L.U.</t>
  </si>
  <si>
    <t>A79935607</t>
  </si>
  <si>
    <t>45308248L</t>
  </si>
  <si>
    <t>RECLMACIÓN DE CANTIDAD</t>
  </si>
  <si>
    <t>MOHAMED AMIN BOUMEDIANI EL IDRISSI</t>
  </si>
  <si>
    <t>43998101K</t>
  </si>
  <si>
    <t>MOVI PACK CAR, S.L.U. Y ADECCO TT, S.A.</t>
  </si>
  <si>
    <t>B72723968 Y A80903180</t>
  </si>
  <si>
    <t>SALIH AMJAHAD</t>
  </si>
  <si>
    <t>X5836878F</t>
  </si>
  <si>
    <t>INGRID SALVADOR PARDO</t>
  </si>
  <si>
    <t>45315340G</t>
  </si>
  <si>
    <t>JOUSEFF TORRES OLORIZ MOHAMED</t>
  </si>
  <si>
    <t>45310885B</t>
  </si>
  <si>
    <t>MARÍA VELASCO MOLINA</t>
  </si>
  <si>
    <t>45313299X</t>
  </si>
  <si>
    <t>EUROHUADA, S.L.</t>
  </si>
  <si>
    <t>B52017415</t>
  </si>
  <si>
    <t>DESPIDO NULO O SUBSIDIARIAMENTE IMPROCEDENTE Y RECLAMACIÓN DE CANTIDAD</t>
  </si>
  <si>
    <t>SORAYA LAOUQUILI BELHAJ</t>
  </si>
  <si>
    <t>45358496N</t>
  </si>
  <si>
    <t>RECONOCIMIENTO DERECHOS (ANTIGÜEDAD)</t>
  </si>
  <si>
    <t>CONCEPCIÓN ANDREU MUÑOZ</t>
  </si>
  <si>
    <t>45272718R</t>
  </si>
  <si>
    <t>DOLORES MARÍA LÓPEZ GUARDIA</t>
  </si>
  <si>
    <t>A28517308</t>
  </si>
  <si>
    <t>MALIKA AZZAMMOURI MIZIANI</t>
  </si>
  <si>
    <t>45320553L</t>
  </si>
  <si>
    <t>LISEGRAN, S.L.</t>
  </si>
  <si>
    <t>B19664176</t>
  </si>
  <si>
    <t>RECLAMACIÓN DE CANTIDAD E INDEMNIZACIÓN POR DAÑOS MORALES</t>
  </si>
  <si>
    <t>X5689901T</t>
  </si>
  <si>
    <t>YUSRA CHAOUI MOUFRA</t>
  </si>
  <si>
    <t>45318438C</t>
  </si>
  <si>
    <t>LAYLA EL JANTAFI</t>
  </si>
  <si>
    <t>Y4082819B</t>
  </si>
  <si>
    <t>CB HERMANOS EL HADID</t>
  </si>
  <si>
    <t>E52028628</t>
  </si>
  <si>
    <t>YONAIDA KOURDION MOHAMED</t>
  </si>
  <si>
    <t>45295178J</t>
  </si>
  <si>
    <t>MOHAMED MANZOR ABDESLAM</t>
  </si>
  <si>
    <t>45299674R</t>
  </si>
  <si>
    <t>MERCADONA, S.A.</t>
  </si>
  <si>
    <t>45301737V</t>
  </si>
  <si>
    <t>MADHU GANGARAM MANWANI</t>
  </si>
  <si>
    <t>OMAR MOUHOU</t>
  </si>
  <si>
    <t>X217794E</t>
  </si>
  <si>
    <t>MOHAMED EBN ALALL ECHAIKHI</t>
  </si>
  <si>
    <t>45285335Z</t>
  </si>
  <si>
    <t>FRANCISCA MARÍA GÓMEZ DÍAZ</t>
  </si>
  <si>
    <t>45280987J</t>
  </si>
  <si>
    <t>CONSULTING E INSTALACIONES MELILLA, S.L.</t>
  </si>
  <si>
    <t>B29955853</t>
  </si>
  <si>
    <t>SALARIOS</t>
  </si>
  <si>
    <t>SILVIA GARCÍA GÓMEZ</t>
  </si>
  <si>
    <t>CARLOS RODRÍGUEZ MORENO</t>
  </si>
  <si>
    <t>11874586P</t>
  </si>
  <si>
    <t>CD VIRGEN DE LA VICTORIA</t>
  </si>
  <si>
    <t>G52003779</t>
  </si>
  <si>
    <t>RECONOCIMIENTO DE DERECHO, DESPIDO Y RECLAMACIÓN DE CANTIDAD</t>
  </si>
  <si>
    <t>SERGLOBIN SL</t>
  </si>
  <si>
    <t>RECONOCIMIENTO DE DERECHO POR CESIÓN ILEGAL DE MANO DE OBRA Y RECLAMACIÓN DE CANTIDADES</t>
  </si>
  <si>
    <t>LOGISTICS EXPRESS</t>
  </si>
  <si>
    <t>B44803690</t>
  </si>
  <si>
    <t>NALLUA ALLITOU TAHIRI</t>
  </si>
  <si>
    <t>45324848J</t>
  </si>
  <si>
    <t>JOSÉ MIGUEL PÉREZ PÉREZ</t>
  </si>
  <si>
    <t>45289484T</t>
  </si>
  <si>
    <t>09::20</t>
  </si>
  <si>
    <t>MARÍA LUISA MARTÍNEZ BELTRÁN</t>
  </si>
  <si>
    <t>45298048P</t>
  </si>
  <si>
    <t>RESOLUCIÓN DEL CONTRATO DE TRABAJO Y RECLAMACIÓN SALARIAL</t>
  </si>
  <si>
    <t>ABDELMALIK TAYEBI</t>
  </si>
  <si>
    <t>Y0043748Q</t>
  </si>
  <si>
    <t>INSTRUMENTACIÓN Y COMPONENTES, S.A. Y SIEMENS HEALTHCARE, S.L.</t>
  </si>
  <si>
    <t>A500864112 Y B60805769</t>
  </si>
  <si>
    <t>VILAL AOMAR EL KARMOUDI</t>
  </si>
  <si>
    <t>45309062M</t>
  </si>
  <si>
    <t>RECONOCIMIENTO DE ANTIGÜEDAD</t>
  </si>
  <si>
    <t>JESSICA DEL ROSARIO ROSA</t>
  </si>
  <si>
    <t>45319001P</t>
  </si>
  <si>
    <t>SALAH DINN AMAR MOHAMED</t>
  </si>
  <si>
    <t>45292042M</t>
  </si>
  <si>
    <t>MARÍA ILUMINADA QUESADA REVERTE</t>
  </si>
  <si>
    <t>45298232P</t>
  </si>
  <si>
    <t>CARLOS GONZÁLEZ VARO</t>
  </si>
  <si>
    <t>45308506R</t>
  </si>
  <si>
    <t>CLÍNICA DENTAL MONTEMAR, S.L.</t>
  </si>
  <si>
    <t>B44594430</t>
  </si>
  <si>
    <t>CARLOS ALBARRACÍN RUBÍ</t>
  </si>
  <si>
    <t>45279039C</t>
  </si>
  <si>
    <t>B52022233, B52041159, B67711143, B10794568, B29960788, B29964244, B29950193, B52037165 Y 45276525J</t>
  </si>
  <si>
    <t>EXTINCIÓN INDEMNIZADA DEL CONTRATO DE TRABAJO Y RECLAMACIÓN SALARIAL</t>
  </si>
  <si>
    <t>HIJOS DE KARMUDI, S.L., CABECONS E HIJOS MELILLA, S.L., KARMUDI CONSTRUCCIONES E INVERSIONES, S.L., CONSTRUCCIONES BUSSIAN KARMUDI E HIJOS, S.L., BUMAMEL, S.L., GRALASTIMEL, S.L., HERMANOS KARMUDI, S.L., KARMUDI E HIJOS KITDECOR, S.L. Y D. BUSSIAN AL LAL MOH</t>
  </si>
  <si>
    <t>ISLAM ABDEL LAH EL ALLALI</t>
  </si>
  <si>
    <t>45311848P</t>
  </si>
  <si>
    <t>ELÍAS BENHAMÚ BELILTY</t>
  </si>
  <si>
    <t>45312082N</t>
  </si>
  <si>
    <t>EMPRESA MUNICIPAL DE LA VIVIENDA Y SUELO</t>
  </si>
  <si>
    <t>A29955234</t>
  </si>
  <si>
    <t>NOUR AL LUCHS HAMMOU</t>
  </si>
  <si>
    <t>45356186W</t>
  </si>
  <si>
    <t>SKILL ON NET SAU</t>
  </si>
  <si>
    <t>A88182100</t>
  </si>
  <si>
    <t>IMPUGNACIÓN DE DESPIDO NULO O SUBSIDIARIAMENTE IMPROCEDENTE</t>
  </si>
  <si>
    <t>JOSÉ MARÍA PÉREZ FERRÓN</t>
  </si>
  <si>
    <t>45318043Q</t>
  </si>
  <si>
    <t>NURIA MARTÍNEZ HERNÁNDEZ</t>
  </si>
  <si>
    <t>ESTEFANÍA VELASCO HUERTAS</t>
  </si>
  <si>
    <t>45314622E</t>
  </si>
  <si>
    <t>JOSÉ LUIS RODRÍGUEZ PÉREZ</t>
  </si>
  <si>
    <t>45278244F</t>
  </si>
  <si>
    <t>RECLAMACIÓN DE CANTIDAD Y TUTELA DE DERECHOS FUNDAMENTALES</t>
  </si>
  <si>
    <t>ALI MOHAMED MOHAMED</t>
  </si>
  <si>
    <t>45286666X</t>
  </si>
  <si>
    <t>DESPIDO NULO Y RECLAMACIÓN DE CANTIDAD</t>
  </si>
  <si>
    <t>ANISA MOHAMED GRIDO</t>
  </si>
  <si>
    <t>45356513F</t>
  </si>
  <si>
    <t>ABDERRAHMAN CHARID MIMON</t>
  </si>
  <si>
    <t>45319172H</t>
  </si>
  <si>
    <t>GLOVOAPP SPAIN PLATFORM SL Y LA LINEA ONLINE SL</t>
  </si>
  <si>
    <t>B67282871 Y B16988826</t>
  </si>
  <si>
    <t>MOHAMED BENALI ABDELKADER</t>
  </si>
  <si>
    <t>45314561F</t>
  </si>
  <si>
    <t>BUSMAR CB</t>
  </si>
  <si>
    <t>E52033560</t>
  </si>
  <si>
    <t>MIMON CHAOUI ABDELKADER</t>
  </si>
  <si>
    <t>45306248C</t>
  </si>
  <si>
    <t>AMBULANCIAS ANDALUCÍA S COOP AND</t>
  </si>
  <si>
    <t>F93358711</t>
  </si>
  <si>
    <t>IMPUGNACIÓN SANCIONES GRAVE CON VULNERACIÓN DE DERECHOS FUNDAMENTALES</t>
  </si>
  <si>
    <t>GONZALO SAMPER GARCÍA</t>
  </si>
  <si>
    <t>45298123Z</t>
  </si>
  <si>
    <t>EDITORES DEL ESTRECHO SL (EL FARO DE MELILLA)</t>
  </si>
  <si>
    <t>B29963659</t>
  </si>
  <si>
    <t>SANCIÓN DISCIPLINARIA</t>
  </si>
  <si>
    <t>07//04/2025</t>
  </si>
  <si>
    <t>VÍCTOR CERISOLA HIDALGO</t>
  </si>
  <si>
    <t>45301350K</t>
  </si>
  <si>
    <t>MARTÍN E HIJOS, S.L.</t>
  </si>
  <si>
    <t>B35023068</t>
  </si>
  <si>
    <t>SUKAINA HAMAD AL LAL</t>
  </si>
  <si>
    <t>45310227C</t>
  </si>
  <si>
    <t>ZARA ESPAÑA SA</t>
  </si>
  <si>
    <t>A15022510</t>
  </si>
  <si>
    <t>CRISTINA CASTRO GÓMEZ</t>
  </si>
  <si>
    <t>45313576B</t>
  </si>
  <si>
    <t>CODERE</t>
  </si>
  <si>
    <t>A86346038</t>
  </si>
  <si>
    <t>JOSÉ ANDRÉS CORTIZO MONTERO</t>
  </si>
  <si>
    <t>45296585V</t>
  </si>
  <si>
    <t>CHAFIQ NAKHELI TAHIRI</t>
  </si>
  <si>
    <t>49899956F</t>
  </si>
  <si>
    <t>RECONOCIMIENTO DE DERECHO (ANTIGÜEDAD)</t>
  </si>
  <si>
    <t>DINETH MEJIA GUTIERREZ</t>
  </si>
  <si>
    <t>Z1369904Y</t>
  </si>
  <si>
    <t>CONSTRUCCIONES CREACIÓN HOME, S.L. Y  MOURAD KHARBOUCH LAMSALH</t>
  </si>
  <si>
    <t>B44703171 Y 43997104J</t>
  </si>
  <si>
    <t>JUAN JOSÉ SOLER CARRALERO</t>
  </si>
  <si>
    <t>45284096V</t>
  </si>
  <si>
    <t>25977525Z</t>
  </si>
  <si>
    <t>CUMPLIMIENTO DE CONCILIACIÓN JUDICIAL, SOLICITANDO REINTEGRO EMOLUMENTIS DEJADOS DE PERCIBIR</t>
  </si>
  <si>
    <t>NORA MOHAMED HAMED, FRANCISCA CANO RUIZ, RAÚL REY VÁZQUEZ, VANESA LÓPEZ BOU, MARÍA INMACULADA SORIANO RAMÓN, MARÍA JOSÉ RUIZ CONEJO, MARTA COMPÁN SIMÓN, NASSERA MOHAMED ABDELKADER Y DOLORES SORIANO RAMÓN</t>
  </si>
  <si>
    <t>45293183L, 45299859W, 45297858W, 45304739Y, 45290649S, 45280288G, 45307342X, 45300253M Y 45296956C</t>
  </si>
  <si>
    <t>BE CALL BPO SL, AVILON CENTER 2016 SL Y EULEN SA</t>
  </si>
  <si>
    <t>B05254859, B05254859 Y A28517308</t>
  </si>
  <si>
    <t>45287103B, 45283487Y Y 45285552R</t>
  </si>
  <si>
    <t>MARÍA AZUCENA CASTELLANOS MARTÍN, MARÍA ELENA FERNÁNDEZ ARTILLO Y MARÍA DE LOS ÁNGELES IBÁÑEZ FLORES</t>
  </si>
  <si>
    <t>PARADORES DE TURISMO DE ESPAÑA SME SA, JESÚS LÓPEZ PALOMERO Y MAANAL ABRIGHAS</t>
  </si>
  <si>
    <t>A79855201, XXXXXX Y XXXXX</t>
  </si>
  <si>
    <t>ACOSO LABORAL EN RELACIÓN CON LOS DERECHOS FUNDAMENTALES, 15, 24.1 Y 10 DE LA CE</t>
  </si>
  <si>
    <t>MARÍA GARCÍA CASAL</t>
  </si>
  <si>
    <t>36118770F</t>
  </si>
  <si>
    <t>EDITORES DEL ESTRECHO SL</t>
  </si>
  <si>
    <t>IMPUGNACIÓN SANCIÓN MUY GRAVE CON VULNERACIÓN DE DERECHOS FUNDAMENTALES ART. 24,1 CE Y 15 CE</t>
  </si>
  <si>
    <t>45312378D</t>
  </si>
  <si>
    <t>MELILLA TUR, S.L.</t>
  </si>
  <si>
    <t>A29906211</t>
  </si>
  <si>
    <t>45275072D</t>
  </si>
  <si>
    <t>Y6531970F</t>
  </si>
  <si>
    <t>JOSÉ MARÍA SAURA LLAMAS</t>
  </si>
  <si>
    <t>45294470H</t>
  </si>
  <si>
    <t>RECLAMACIÓN DE DESPIDO</t>
  </si>
  <si>
    <t>LATIFA EL MESSAOUDI</t>
  </si>
  <si>
    <t>KHOLOUD EL BOUCHIKHI MANSOUR</t>
  </si>
  <si>
    <t>60254726Q</t>
  </si>
  <si>
    <t>MAITE ZUBIGARAY ANGULO (MARA'S NATURE)</t>
  </si>
  <si>
    <t>15400782M</t>
  </si>
  <si>
    <t>ALFONSO PÉREZ CABEZA Y MANUEL GÓMEZ VIVA</t>
  </si>
  <si>
    <t>45264903Y y XXXXX</t>
  </si>
  <si>
    <t>AICHA LASFAR LAHRACH</t>
  </si>
  <si>
    <t>45358769D</t>
  </si>
  <si>
    <t>KHALIFA OUASS</t>
  </si>
  <si>
    <t>Y3862937D</t>
  </si>
  <si>
    <t>MELILLA INNOVA BRANDS SL</t>
  </si>
  <si>
    <t>B52032414</t>
  </si>
  <si>
    <t>YUSRA MOHAMED SADDIKI</t>
  </si>
  <si>
    <t>45312302W</t>
  </si>
  <si>
    <t>AINHOA SUÁREZ VEGA Y MARÍA DEL CARMEN VEGA</t>
  </si>
  <si>
    <t>XXXXXX Y 45272602T</t>
  </si>
  <si>
    <t>MARÍA JOSÉ PÉREZ LAMATA</t>
  </si>
  <si>
    <t>45276255L</t>
  </si>
  <si>
    <t>FAID MOHAMED SAID</t>
  </si>
  <si>
    <t>ZAINTZEN, S.A. Y EULEN SOCIOSANITARIOS, S.A.</t>
  </si>
  <si>
    <t>A95740528 Y A7902299</t>
  </si>
  <si>
    <t>GEMA ZAPATA LÓPEZ</t>
  </si>
  <si>
    <t>45312058B</t>
  </si>
  <si>
    <t>CARMELO MARTÍNEZ LÁZARO, S.L.</t>
  </si>
  <si>
    <t>B29959095</t>
  </si>
  <si>
    <t>RECLAMACIÓN DE CANTIDADES SALARIALES</t>
  </si>
  <si>
    <t>ISIDRO VILLANUEVA MALDONADO</t>
  </si>
  <si>
    <t>45277009Z</t>
  </si>
  <si>
    <t>BUNKER MOTOR, S.L.Y JUAN MONTOYA VICENTE RAMÓN</t>
  </si>
  <si>
    <t>B299653485 Y 45277076N</t>
  </si>
  <si>
    <t>BUNKER MOTOR, S.L. Y JUAN MONTOYA VICENTE RAMÓN</t>
  </si>
  <si>
    <t>B29963485 Y 45277076N</t>
  </si>
  <si>
    <t>RESOLUCIÓN DEL CONTRATO A INSTANCIAS DEL TRABAJADOR</t>
  </si>
  <si>
    <t>SORAYA HAMED AL LAL</t>
  </si>
  <si>
    <t>45288250P</t>
  </si>
  <si>
    <t>45286533Q</t>
  </si>
  <si>
    <t>MOHAMED AMAR CHAIB Y CONSULTING E INSTALACIONES MELILLA SL (COIME)</t>
  </si>
  <si>
    <t>45284644J     B29955853</t>
  </si>
  <si>
    <t>DESPIDO Y RECLAMACION DE CANTIDAD CON TUTELA DE DERECHOS FUNDAMENTALES</t>
  </si>
  <si>
    <t>FRANCISCO MANUEL LÓPEZ RODRÍGUEZ</t>
  </si>
  <si>
    <t>45311902Q</t>
  </si>
  <si>
    <t>MOHAMED MOHAMED RAFIK</t>
  </si>
  <si>
    <t>XXXX</t>
  </si>
  <si>
    <t>RESOLUCIÓN DE CONTRATO A INSTANCIAS DEL TRABAJADOR CON RECLAMACIÓN DE CANTIDADES E INDEMNIZACIÓN DE DAÑOS Y PERJUICIOS</t>
  </si>
  <si>
    <t>ANA MARÍA URDIALES TRIANA</t>
  </si>
  <si>
    <t>45275184Y</t>
  </si>
  <si>
    <t>NURIA OÑA HERNÁNDEZ</t>
  </si>
  <si>
    <t>45279237B</t>
  </si>
  <si>
    <t>MUSSAFIRA YAHIA AMAR</t>
  </si>
  <si>
    <t>4536465F</t>
  </si>
  <si>
    <t>C.C.3/2025</t>
  </si>
  <si>
    <t>FRANCISCO MIGUEL LÓPEZ FERNÁNDEZ</t>
  </si>
  <si>
    <t>ALBA GALERA SANTOS</t>
  </si>
  <si>
    <t>45309201Y</t>
  </si>
  <si>
    <t>DESARROLLO BINARIOS Y COMUNICACIONES SL</t>
  </si>
  <si>
    <t>B52011517</t>
  </si>
  <si>
    <t>CESIÓN ILEGAL DE MANO DE OBRA Y RECLAMACIÓN DE CANTIDAD</t>
  </si>
  <si>
    <t>CELIA ROCA RODRÍGUEZ</t>
  </si>
  <si>
    <t>45317857Z</t>
  </si>
  <si>
    <t>DUNIA IDRISSI GAMA</t>
  </si>
  <si>
    <t>45357057E</t>
  </si>
  <si>
    <t>ZAFIRO, S.L.</t>
  </si>
  <si>
    <t>ABDELCADER EL MEZIANI HIDOU</t>
  </si>
  <si>
    <t>45310681Z</t>
  </si>
  <si>
    <t>MIGUEL ÁNGEL PELÁEZ ZAMORA</t>
  </si>
  <si>
    <t>25107580K</t>
  </si>
  <si>
    <t>ROCÍO CUETO MARTÍN</t>
  </si>
  <si>
    <t>45307207J</t>
  </si>
  <si>
    <t>KOALA SOLUCIONES EDUCATIVAS, S.A.</t>
  </si>
  <si>
    <t xml:space="preserve">A87045423 </t>
  </si>
  <si>
    <t>DESPIDO NULO Y RECLAMACIÓN DE CANTIDADES</t>
  </si>
  <si>
    <t>ANTONIO GUZMÁN FERNÁNDEZ</t>
  </si>
  <si>
    <t>45274067Q</t>
  </si>
  <si>
    <t>EULEN SEGURIDAD, S.A. Y SALZILLO SEGURIDAD, S.A.</t>
  </si>
  <si>
    <t>A28369395 Y A73100638</t>
  </si>
  <si>
    <t>ESTEFANÍA MARTÍNEZ NAVARRO</t>
  </si>
  <si>
    <t>45305580L</t>
  </si>
  <si>
    <t>MARÍA DEL CARMEN SÁNCHEZ BARÓN</t>
  </si>
  <si>
    <t>45284359G</t>
  </si>
  <si>
    <t>ABDELHAK SRHIYER</t>
  </si>
  <si>
    <t>Y3051026K</t>
  </si>
  <si>
    <t>VÍCTOR JOAQUÍN ABSELAN RODRÍGUEZ</t>
  </si>
  <si>
    <t>45109986V</t>
  </si>
  <si>
    <t>RECLAMACIÓN DE INDEMNIZACIÓN POR DAÑOS Y PERJUICIOS DERIVADOS DE ACCIDENTE DE TRABAJO POR FALTA DE MEDIDAS DE SEGURIDAD</t>
  </si>
  <si>
    <t>FRANCISCO JOSÉ LUCENA MARTÍNEZ</t>
  </si>
  <si>
    <t>45294272G</t>
  </si>
  <si>
    <t>SEUR GEOPOST SL</t>
  </si>
  <si>
    <t>B82516600</t>
  </si>
  <si>
    <t>JUAN GONZÁLEZ ARJONA</t>
  </si>
  <si>
    <t>45292934T</t>
  </si>
  <si>
    <t>SERVICIOS ASISTENCIA TÉCNICA DOMINGO CASQUET E HIJOS, S.L.</t>
  </si>
  <si>
    <t>B52015039</t>
  </si>
  <si>
    <t>4531544P</t>
  </si>
  <si>
    <t>SHEYLA MOHAMEDI BEN MOHAMED</t>
  </si>
  <si>
    <t>ILHAM HAMID</t>
  </si>
  <si>
    <t>Y8682086Z</t>
  </si>
  <si>
    <t>FRANCISCO SALVADOR SOLER CANSINO</t>
  </si>
  <si>
    <t>45265045X</t>
  </si>
  <si>
    <t>NISRIN MUSA MOHAMED</t>
  </si>
  <si>
    <t>45313682W</t>
  </si>
  <si>
    <t>MEDIA MARKT SATURN SAU</t>
  </si>
  <si>
    <t>A82037292</t>
  </si>
  <si>
    <t>JOSÉ MARIANO MARTÍN HERNANDO</t>
  </si>
  <si>
    <t>45277650B</t>
  </si>
  <si>
    <t>COMPAÑÍA MELILLENSE DE GAS Y ELECTRICIDAD, S.A.</t>
  </si>
  <si>
    <t>JESÚS GONZÁLEZ JIMÉNEZ</t>
  </si>
  <si>
    <t>77345715G</t>
  </si>
  <si>
    <t>A29900032</t>
  </si>
  <si>
    <t>45290823M</t>
  </si>
  <si>
    <t>EULEN SERVICIOS SOCIOSANITARIOS SA</t>
  </si>
  <si>
    <t>A79022299</t>
  </si>
  <si>
    <t>FATIMA KADDOUR HOSSEIN</t>
  </si>
  <si>
    <t>EULEN SA</t>
  </si>
  <si>
    <t xml:space="preserve">INSTALACIONES Y SISTEMAS ELÉCTRICOS PORTILLO, S.L. </t>
  </si>
  <si>
    <t xml:space="preserve">B52042199
</t>
  </si>
  <si>
    <t>MIGUEL JESÚS CASAL MEDINA</t>
  </si>
  <si>
    <t>45277839Q</t>
  </si>
  <si>
    <t>FRANCISCA ÁLAMO GARCÍA</t>
  </si>
  <si>
    <t>45276668H</t>
  </si>
  <si>
    <t>MOHAMED HAMED ALI</t>
  </si>
  <si>
    <t>45294668D</t>
  </si>
  <si>
    <t>TRAGSATEC (TECNOLOGÍAS Y SERVICIOS AGRARIOS, S.A., S.M.E., M.P.)</t>
  </si>
  <si>
    <t>YUNES MIMOUN ALI</t>
  </si>
  <si>
    <t>45306035Z</t>
  </si>
  <si>
    <t>JESÚS MENDOZA RINCÓN</t>
  </si>
  <si>
    <t>45300348P</t>
  </si>
  <si>
    <t>IKRAM BURRAHAY LAMDAGHRI</t>
  </si>
  <si>
    <t>45305308T</t>
  </si>
  <si>
    <t>RAQUEL CRESPO MORENO</t>
  </si>
  <si>
    <t>44028616S</t>
  </si>
  <si>
    <t>DEPIDO NULO Y RECLAMACIÓN DE CANTIDAD</t>
  </si>
  <si>
    <t>YAWAD HAMED MOHAMED</t>
  </si>
  <si>
    <t>45286588W</t>
  </si>
  <si>
    <t>RECONOCIMIENTO DERECHOS</t>
  </si>
  <si>
    <t>KARIMA OUALIT HERMOSO</t>
  </si>
  <si>
    <t>45280048V</t>
  </si>
  <si>
    <t>RACHIDA MOHAMED DOUHRI</t>
  </si>
  <si>
    <t>45309044X</t>
  </si>
  <si>
    <t>CRISTÓBAL RUEDA AMADO</t>
  </si>
  <si>
    <t>75816207L</t>
  </si>
  <si>
    <t>ENRIQUE BASELGA MEMBRIVE</t>
  </si>
  <si>
    <t>44876817E</t>
  </si>
  <si>
    <t>SELENA GARCÍA GUERRA</t>
  </si>
  <si>
    <t>44073696S</t>
  </si>
  <si>
    <t>INASAEM, S.L., LOJEMA PIZZAS MELILLA, S.L., FOOD DELIVERY BRANDS, S.A.U. Y JASIM ANAS ALUBUDI</t>
  </si>
  <si>
    <t>B52037603, B52009644, A78849676 Y 51984138K</t>
  </si>
  <si>
    <t>MOHAMED AMIN ALLAL BACHIR</t>
  </si>
  <si>
    <t>45312846V</t>
  </si>
  <si>
    <t>BENAISA HADER EL ARBI</t>
  </si>
  <si>
    <t>45305739V</t>
  </si>
  <si>
    <t>FUHAH MOHAMED AHMED</t>
  </si>
  <si>
    <t>45301967V</t>
  </si>
  <si>
    <t>SARAY TEJADA VENEGAS</t>
  </si>
  <si>
    <t>45321830P</t>
  </si>
  <si>
    <t>SUSANA ULANGA BENKAY</t>
  </si>
  <si>
    <t>03114866E</t>
  </si>
  <si>
    <t>YAMAL CHAIB ABATTOUY</t>
  </si>
  <si>
    <t>45314250H</t>
  </si>
  <si>
    <t>MARÍA JOSÉ LÓPEZ MORA</t>
  </si>
  <si>
    <t>45306727Q</t>
  </si>
  <si>
    <t>SALIHA AMAR MOHAND</t>
  </si>
  <si>
    <t>45305215E</t>
  </si>
  <si>
    <t>JOUNAYDA MOHATAR EL MORABIT</t>
  </si>
  <si>
    <t>45304166P</t>
  </si>
  <si>
    <t>YASIN EL HAMDAOUI LAHFA</t>
  </si>
  <si>
    <t>45321384E</t>
  </si>
  <si>
    <t>YASMINA MIMUN MOHAND</t>
  </si>
  <si>
    <t>45310881F</t>
  </si>
  <si>
    <t>COLLATES &amp; GONZÁLEZ SOCIEDAD LIMITADA</t>
  </si>
  <si>
    <t>B67991083</t>
  </si>
  <si>
    <t>SUFIAN HASSEN HAMED</t>
  </si>
  <si>
    <t>45305647V</t>
  </si>
  <si>
    <t>SURESTE SEGURIDAD, S.L. Y SALZILLO SEGURIDAD, S.A.</t>
  </si>
  <si>
    <t>B30376982 Y A73100638</t>
  </si>
  <si>
    <t>FARIDA HASSAN MOHAMED</t>
  </si>
  <si>
    <t>45289441A</t>
  </si>
  <si>
    <t>SACYR AGUAS, S.L.</t>
  </si>
  <si>
    <t>B06285092</t>
  </si>
  <si>
    <t>RECONOCIMIENTO DERECHOS ANTIGÜEDAD</t>
  </si>
  <si>
    <t>RECONOCIMIENTO DERECHOS EQUIPACIÓN SALARIAL POR DISCRIMINACIÓN Y RECLAMACIÓN DE CANTIDADES</t>
  </si>
  <si>
    <t>HOUSSEIN MOHAMED AISA</t>
  </si>
  <si>
    <t>45322250Z</t>
  </si>
  <si>
    <t>MOHAMED MOHATAR MOHAMED</t>
  </si>
  <si>
    <t>45304207A</t>
  </si>
  <si>
    <t>JESÚS BELMONTE MIÑANO</t>
  </si>
  <si>
    <t>45307181X</t>
  </si>
  <si>
    <t>JOSÉ MARÍA COBREROS RICO</t>
  </si>
  <si>
    <t>45271285V</t>
  </si>
  <si>
    <t>SUMINISTROS, IMPORTACIONES Y MANTENIMIENTOS ELÉCTRICOS, S.A.</t>
  </si>
  <si>
    <t>A78032315</t>
  </si>
  <si>
    <t>DESPIDO Y VULNERACIÓN DE DERECHOS FUNDAMENTALES</t>
  </si>
  <si>
    <t>SERGIO JOSÉ ARIAS BRAVO</t>
  </si>
  <si>
    <t>45300109B</t>
  </si>
  <si>
    <t>RECLAMACIÓN DE DERECHO Y CANTIDAD CON VULNERACIÓN DE DERECHOS FUNDAMENTALES</t>
  </si>
  <si>
    <t>45299940Z</t>
  </si>
  <si>
    <t>NATALIA DESIRÉE MORALES GUTIÉRREZ</t>
  </si>
  <si>
    <t>45301271B</t>
  </si>
  <si>
    <t>4531410J</t>
  </si>
  <si>
    <t>MARÍA JESÚS AVIÑÓN ZURITA</t>
  </si>
  <si>
    <t>OLAYA JIMÉNEZ NAVARRO</t>
  </si>
  <si>
    <t>45323186F</t>
  </si>
  <si>
    <t>NEBULAE MELILLA, S.L. Y FATIMA ZAHRA ABDELAZIZ HAMED</t>
  </si>
  <si>
    <t>B01778356 Y</t>
  </si>
  <si>
    <t>CAROLINA MARTÍNEZ LÓPEZ</t>
  </si>
  <si>
    <t>45293175B</t>
  </si>
  <si>
    <t>JOSÉ MARÍA MAHÍLLO GARCÍA</t>
  </si>
  <si>
    <t>45294299P</t>
  </si>
  <si>
    <t>MIGUEL ÁNGEL ROMÁN ABDELKADER</t>
  </si>
  <si>
    <t>45295906M</t>
  </si>
  <si>
    <t>MELIANSE, S.L.</t>
  </si>
  <si>
    <t>B29956109</t>
  </si>
  <si>
    <t>RECLAMACIÓN DE DIFERENCIAS SALARIALES Y CANTIDADES NO ABONADAS</t>
  </si>
  <si>
    <t>LAURA ELVIRA RAMÍREZ SÁNCHEZ</t>
  </si>
  <si>
    <t>45316618V</t>
  </si>
  <si>
    <t>JUAN RAMÓN PÉREZ DÍAZ</t>
  </si>
  <si>
    <t>45274783L</t>
  </si>
  <si>
    <t>X2717794E</t>
  </si>
  <si>
    <t xml:space="preserve">MOHAMED EBN ALALL ECHAIKHI </t>
  </si>
  <si>
    <t>EXTINCIÓN DE CONTRATO Y RECLAMACIÓN DE CANTIDADES</t>
  </si>
  <si>
    <t>LINA REFAI AZDI</t>
  </si>
  <si>
    <t>78592438N</t>
  </si>
  <si>
    <t>GUESS APPAREL SPAIN</t>
  </si>
  <si>
    <t>B84869288</t>
  </si>
  <si>
    <t>RESLUCIÓN DE CONTRATO</t>
  </si>
  <si>
    <t>MIGUEL ÁNGEL NAVARRO TORTOSA</t>
  </si>
  <si>
    <t>45300314C</t>
  </si>
  <si>
    <t>ATLAS, S.A.</t>
  </si>
  <si>
    <t>A11906773</t>
  </si>
  <si>
    <t>CLASIFICACIÓN PROFESIONAL Y RECLAMACIÓN DIFERENCIAS SALARIALES</t>
  </si>
  <si>
    <t>MARCO ALMÉCIJA CARMONA</t>
  </si>
  <si>
    <t>45307840W</t>
  </si>
  <si>
    <t>JUAN MANUEL PARDO RUIZ</t>
  </si>
  <si>
    <t>45319011H</t>
  </si>
  <si>
    <t>VICENTE MANUEL CASTELLANO BOTELLA</t>
  </si>
  <si>
    <t>45285648M</t>
  </si>
  <si>
    <t>ENMANUEL GONZÁLEZ RODRÍGUEZ</t>
  </si>
  <si>
    <t>49042156S</t>
  </si>
  <si>
    <t>SOL ÁLVAREZ-BUYLLA MARTÍNEZ-COVISA</t>
  </si>
  <si>
    <t>71731459W</t>
  </si>
  <si>
    <t>G29903416</t>
  </si>
  <si>
    <t>ÁNGEL ILDEFONSO RODRÍGUEZ NEBREDA</t>
  </si>
  <si>
    <t>33926565R</t>
  </si>
  <si>
    <t>IGNACIO ÁLVAREZ-BUYLLA FERNÁNDEZ</t>
  </si>
  <si>
    <t>10576697D</t>
  </si>
  <si>
    <t>CARMEN CLARES MIRON</t>
  </si>
  <si>
    <t>20080559H</t>
  </si>
  <si>
    <t>SOCIEDAD ESPAÑOLA DE RADIODIFUSIÓN, S.L. Y ANTONIA RAMOS PELÁEZ</t>
  </si>
  <si>
    <t>B28016970 Y XXXX</t>
  </si>
  <si>
    <t>VULNERACIÓN DE DERECHOS FUNDAMENTALES, ART. 15 CE Y 10 CE</t>
  </si>
  <si>
    <t>HASSAN ABDELKADER MOHAMED</t>
  </si>
  <si>
    <t>45294966P</t>
  </si>
  <si>
    <t>FRANCISCO JOSÉ MADOLELL GARCÍA</t>
  </si>
  <si>
    <t>45297765R</t>
  </si>
  <si>
    <t>JOSÉ ALONSO SÁNCHEZ</t>
  </si>
  <si>
    <t>45268279R</t>
  </si>
  <si>
    <t>C.C 4/2025</t>
  </si>
  <si>
    <t>FEDERACIÓN ESTATAL DE SERVICIOS, MOVILIDAD Y CONSUMO DE LA UNIÓN GENERAL DE TRABAJADORES</t>
  </si>
  <si>
    <t>G87589909</t>
  </si>
  <si>
    <t>ASOCIACIÓN DE COMERCIANTES DE MELILLA Y SINDICATO COMISIONES OBRERAS DE MELILLA</t>
  </si>
  <si>
    <t>G29902079 Y G29904927</t>
  </si>
  <si>
    <t>JUAN JOSÉ VALLEJO MARTOS</t>
  </si>
  <si>
    <t>33363538Z</t>
  </si>
  <si>
    <t>HIJOS DE MANSOURI, S.L.</t>
  </si>
  <si>
    <t xml:space="preserve">B52042256
</t>
  </si>
  <si>
    <t>EDUARDO LOCOS RAMOS</t>
  </si>
  <si>
    <t>25196548W</t>
  </si>
  <si>
    <t>JUAN CARLOS FERNÁNDEZ DE PUELLES</t>
  </si>
  <si>
    <t>51372588H</t>
  </si>
  <si>
    <t>NAYIM SELAM ABDELKRIM</t>
  </si>
  <si>
    <t>452978570J</t>
  </si>
  <si>
    <t>SALOMÓN SERFATY BITTAN</t>
  </si>
  <si>
    <t>KAUZAR MIMUN MOHAMED</t>
  </si>
  <si>
    <t>78530614N</t>
  </si>
  <si>
    <t>ACADEMIA SOCE, S.L.U.</t>
  </si>
  <si>
    <t>MARÍA RODRÍGUEZ SILLA</t>
  </si>
  <si>
    <t>75938980H</t>
  </si>
  <si>
    <t>PABLO CARRASCO COMPÁN</t>
  </si>
  <si>
    <t>45314474N</t>
  </si>
  <si>
    <t>FUSION GYM MELILLA, S.L.</t>
  </si>
  <si>
    <t>B52034311</t>
  </si>
  <si>
    <t>DESPIDO Y TUTELA DE DERECHOS FUNDAMENTALES</t>
  </si>
  <si>
    <t>JOEL MUÑOZ ALPUENTE</t>
  </si>
  <si>
    <t>45311269G</t>
  </si>
  <si>
    <t>ASOCIACIÓN TRASTORNO DE ESPECTRO AUTISTA MELILLA AVANZA Y SUSANA MORILLO ESPINOSA</t>
  </si>
  <si>
    <t>G52030327 Y 45300081V</t>
  </si>
  <si>
    <t>DESPIDO NULO POR VULNERACIÓN DE DERECHOS FUNDAMENTALES Y, SUBSIDIARIAMENTE IMPROCEDENTE, Y RECONOCIMIENTO DE DERECHO</t>
  </si>
  <si>
    <t>CRISTINA VAQUERO NOGUER</t>
  </si>
  <si>
    <t>53352883J</t>
  </si>
  <si>
    <t>ANA SERRANO RUIZ</t>
  </si>
  <si>
    <t>77243278D</t>
  </si>
  <si>
    <t>ANDREA ROMERA BLANES</t>
  </si>
  <si>
    <t>54310400V</t>
  </si>
  <si>
    <t>44108968M</t>
  </si>
  <si>
    <t>CONSTRUCCIONES Y REFORMAS AMJAHAD, S.L.U.</t>
  </si>
  <si>
    <t>B19461128</t>
  </si>
  <si>
    <t>MODIFICACIÓN SUSTANCIAL DE LAS CONDICIONES DE TRABAJO Y RECLAMACIÓN DE CANTIDADES</t>
  </si>
  <si>
    <t>18062444S</t>
  </si>
  <si>
    <t>PEDRO JAVIER CAMARERO RODRÍGUEZ</t>
  </si>
  <si>
    <t>18043481G</t>
  </si>
  <si>
    <t>DESPIDO NULO O IMPROCEDENTE</t>
  </si>
  <si>
    <t>SERGIO MENDINUETA BELLÓN</t>
  </si>
  <si>
    <t>MARÍA TERESA HERNÁNDEZ FERNÁNDEZ</t>
  </si>
  <si>
    <t>45307076C</t>
  </si>
  <si>
    <t>ARQUISOCIAL, S.L. Y TECNOLOGÍAS Y SERVICIOS AGRARIOS, S.A.</t>
  </si>
  <si>
    <t>B22183370 Y A79365821</t>
  </si>
  <si>
    <t>RECLAMACIÓN CANTIDADES</t>
  </si>
  <si>
    <t>FATIHA TAKALAIT TAKALAIT</t>
  </si>
  <si>
    <t>60913608V</t>
  </si>
  <si>
    <t>PROYECTOS EMPRESARIALES Y SERVICIOS MALIKA, S.L.U.</t>
  </si>
  <si>
    <t>B52008554</t>
  </si>
  <si>
    <t>45288666X</t>
  </si>
  <si>
    <t>DESPEIDO NULO Y RECLAMACIÓN SALARIAL</t>
  </si>
  <si>
    <t>B19664176 Y 45271123Q</t>
  </si>
  <si>
    <t>LISEGRAN, S.L. Y ENRIQUE VALLEJO GONZÁLVEZ</t>
  </si>
  <si>
    <t>MOHAMED BUSIAN MOHAMED</t>
  </si>
  <si>
    <t>45284958M</t>
  </si>
  <si>
    <t>AIA MOHAMED EL FAHMI</t>
  </si>
  <si>
    <t>45313489Q</t>
  </si>
  <si>
    <t>GRUPO ASAMBLEARIO DE CPM</t>
  </si>
  <si>
    <t>V52036399</t>
  </si>
  <si>
    <t>DESPIDO NULO Y SUBSIDIARIAMENTE IMPROCEDENTE</t>
  </si>
  <si>
    <t>BILAL ARAB RAHHAOUI</t>
  </si>
  <si>
    <t>60176718R</t>
  </si>
  <si>
    <t>SALIMA BUMEDIEN MOHAMED</t>
  </si>
  <si>
    <t>45297018J</t>
  </si>
  <si>
    <t>HAMZA MOHAMED MOHAMED</t>
  </si>
  <si>
    <t>45302772V</t>
  </si>
  <si>
    <t>JOSÉ ALFREDO VERDUGO LÓPEZ-BLANCO</t>
  </si>
  <si>
    <t>45294471L</t>
  </si>
  <si>
    <t>ABDELJALIK MOHAMED MOHAMED</t>
  </si>
  <si>
    <t>ALEJANDRO JOSÉ POMEDIO GARCÍA</t>
  </si>
  <si>
    <t>45314607F</t>
  </si>
  <si>
    <t>CLUB DE BILLAR MELILLA, S.L.</t>
  </si>
  <si>
    <t>B72669898</t>
  </si>
  <si>
    <t>45287566Z</t>
  </si>
  <si>
    <t>PROSEGUR DE SEGURIDAD, S.A.</t>
  </si>
  <si>
    <t>A28430882</t>
  </si>
  <si>
    <t>FRANCISCO VILLENA LORIENTE</t>
  </si>
  <si>
    <t>45356219N</t>
  </si>
  <si>
    <t>LARBI RAHMOUNI</t>
  </si>
  <si>
    <t>X0630075J</t>
  </si>
  <si>
    <t>MILOUD YOUSFI ASLIMANI</t>
  </si>
  <si>
    <t>45357497W</t>
  </si>
  <si>
    <t>HUDAIFA MOHAMED MOHAND</t>
  </si>
  <si>
    <t>45308340L</t>
  </si>
  <si>
    <t>SALEH AHMED ER RATBY</t>
  </si>
  <si>
    <t>45324673E</t>
  </si>
  <si>
    <t>DINA KADDUR BOUCHARFA</t>
  </si>
  <si>
    <t>45314855W</t>
  </si>
  <si>
    <t>ABDELAZIZ CHARRIK HAFHAF</t>
  </si>
  <si>
    <t>44106871R</t>
  </si>
  <si>
    <t>LEROY MERLIN ESPAÑA, S.L.U.</t>
  </si>
  <si>
    <t>MUSSA MOHAND EL ARBAOUI</t>
  </si>
  <si>
    <t>45308693G</t>
  </si>
  <si>
    <t>TRANSPORTES NIEVES, S.A.</t>
  </si>
  <si>
    <t>A29071743</t>
  </si>
  <si>
    <t>TRAGSATEC, S.A.</t>
  </si>
  <si>
    <t>RECONOCIMIENTO DE DERECHOS Y CANTIDAD</t>
  </si>
  <si>
    <t>MOHAMED BUZZIAN AL-ALLAQUI</t>
  </si>
  <si>
    <t>45297846J</t>
  </si>
  <si>
    <t>KARIM MOHAMED MOHAND</t>
  </si>
  <si>
    <t>45282251N</t>
  </si>
  <si>
    <t>SUFIAN HASSAN HAMED</t>
  </si>
  <si>
    <t>ALBERTO MORENO MEJÍAS</t>
  </si>
  <si>
    <t>45314911N</t>
  </si>
  <si>
    <t>B22183370</t>
  </si>
  <si>
    <t>JAVIER MIGUEL MARMOLEJO MARTÍN</t>
  </si>
  <si>
    <t>43079797S</t>
  </si>
  <si>
    <t>BILAL ARAB RAHHAOUI Y SALIMA BUMEDIEN MOHAMED</t>
  </si>
  <si>
    <t>60176718R Y 45297018J</t>
  </si>
  <si>
    <t>CARMELO MARTÍNEZ LÁZARO, S.L.U. Y EULEN, S.A.</t>
  </si>
  <si>
    <t>B29959095 Y A28517308</t>
  </si>
  <si>
    <t>CARMEN SERRANO GUERRERO</t>
  </si>
  <si>
    <t>45278272N</t>
  </si>
  <si>
    <t>CARLOS JESÚS GARCÍA PRIETO</t>
  </si>
  <si>
    <t>45278233L</t>
  </si>
  <si>
    <t>JOSÉ VICENTE MORENO SÁNCHEZ</t>
  </si>
  <si>
    <t>45269199R</t>
  </si>
  <si>
    <t>24/07/20258</t>
  </si>
  <si>
    <t>FRANCISCO JAVIER MARTÍNEZ GARCÍA</t>
  </si>
  <si>
    <t>45304872R</t>
  </si>
  <si>
    <t>SUMINISTROS, IMPORTACIONES Y MANTENIMIENTOS, S.A.</t>
  </si>
  <si>
    <t>SANCIÓN Y CANTIDAD</t>
  </si>
  <si>
    <t>DINA MEHDI BUIMEJENE</t>
  </si>
  <si>
    <t>45305779B</t>
  </si>
  <si>
    <t>ALMA MARÍA RUIZ GIL</t>
  </si>
  <si>
    <t>51998649L</t>
  </si>
  <si>
    <t>DÉCIMAS, S.L.U.</t>
  </si>
  <si>
    <t>B78785219</t>
  </si>
  <si>
    <t>DESPIDO NULO Y TUTELA DE DERECHOS FUNDAMENTALES</t>
  </si>
  <si>
    <t>SAMIR HOSSAIN CHAIB</t>
  </si>
  <si>
    <t>45296587L</t>
  </si>
  <si>
    <t>KAUSAR MIMUN MOHAMED</t>
  </si>
  <si>
    <t>INTERNATIONAL VOCATIONAL TRAINING, S.L.</t>
  </si>
  <si>
    <t>B67744359</t>
  </si>
  <si>
    <t>45318715K</t>
  </si>
  <si>
    <t>MARÍA DEL CARMEN RAMOS MEDINA</t>
  </si>
  <si>
    <t>24172353C</t>
  </si>
  <si>
    <t>ALI HAFHAF</t>
  </si>
  <si>
    <t>X7155923W</t>
  </si>
  <si>
    <t>JUAN JESÚS OLIVARES AMAYA</t>
  </si>
  <si>
    <t>45279646Y</t>
  </si>
  <si>
    <t>SALIMA BEN AZZOUZ AMMARI</t>
  </si>
  <si>
    <t>42208608C</t>
  </si>
  <si>
    <t>DESPIDO NULO O SUBSIDIARIMENTE IMPROCEDENTE Y RECLAMACIÓN DE CANTIDAD</t>
  </si>
  <si>
    <t>RUBÉN VARGAS LÓPEZ</t>
  </si>
  <si>
    <t>45321494V</t>
  </si>
  <si>
    <t>ANTONIO PABLO PÉREZ JUSTO</t>
  </si>
  <si>
    <t>12386418K</t>
  </si>
  <si>
    <t>MR INFÓRMATICA, S.L. Y CONNECTICS ICT SERVICES SA-GETRONIC</t>
  </si>
  <si>
    <t>IMAN MOHAMED AKOUB</t>
  </si>
  <si>
    <t>45309694Q</t>
  </si>
  <si>
    <t>SOCIEDAD DE SAN VICENTE DE PAUL, CONFERENCIA VIRGEN DE LA LUZ Y ASOCIACIÓN DE CARIDAD VIRGEN DE LA LUZ</t>
  </si>
  <si>
    <t>G28256667, G01981232 Y G01981232</t>
  </si>
  <si>
    <t>FADILA MAKHOUT</t>
  </si>
  <si>
    <t>Y8546465R</t>
  </si>
  <si>
    <t>JORGE FLAVIO NOCETILE CABELLEC</t>
  </si>
  <si>
    <t>45399836P</t>
  </si>
  <si>
    <t>NAJIMA ETTALBI</t>
  </si>
  <si>
    <t>LG9593597</t>
  </si>
  <si>
    <t>RABEA AOMAR MOHAMED</t>
  </si>
  <si>
    <t>45285748J</t>
  </si>
  <si>
    <t>JESÚS FRANCISCO DELGADO ABOY</t>
  </si>
  <si>
    <t>FIRDAWS KANNICH</t>
  </si>
  <si>
    <t>Y4914408N</t>
  </si>
  <si>
    <t>FRANCISCO JAVIER HERNÁNDEZ GÓMEZ Y ABI</t>
  </si>
  <si>
    <t>MARÍA DEL CARMEN MARTÍNEZ LACARCEL</t>
  </si>
  <si>
    <t>45271579N</t>
  </si>
  <si>
    <t>ELISABETH SOLEDAD JAVIA FERNÁNDEZ</t>
  </si>
  <si>
    <t>Y0433029E</t>
  </si>
  <si>
    <t>SOULIMAN AARAB MOHAMEDI</t>
  </si>
  <si>
    <t>45300544C</t>
  </si>
  <si>
    <t>ROUMAIZA MOHAMEDI MOHAMED</t>
  </si>
  <si>
    <t>45312727J</t>
  </si>
  <si>
    <t>EULEN SERVICIOS SOCIOSANITARIOS SA Y SALZILLO SERVICIOS INTEGRALES SL</t>
  </si>
  <si>
    <t>A79022299 Y B73589814</t>
  </si>
  <si>
    <t>JOSÉ FRANCISCO SOTO ROBLES</t>
  </si>
  <si>
    <t>45308879Y</t>
  </si>
  <si>
    <t>COMUNIDAD ISRAELITA</t>
  </si>
  <si>
    <t>R5200015E</t>
  </si>
  <si>
    <t>MYRIAM BOUOUTMANE PEREIRA</t>
  </si>
  <si>
    <t>45300970D</t>
  </si>
  <si>
    <t>A59198770</t>
  </si>
  <si>
    <t>AMPLIFON IBERICA SAU</t>
  </si>
  <si>
    <t>SAMIRA HAMMU MUSTAFA</t>
  </si>
  <si>
    <t>45305093S</t>
  </si>
  <si>
    <t>JOYERÍA JOSÉ LUIS, S.L.</t>
  </si>
  <si>
    <t>B15052277</t>
  </si>
  <si>
    <t>MOHAMED TAHIRI EL KAHLAOUI</t>
  </si>
  <si>
    <t>44113483N</t>
  </si>
  <si>
    <t>A52003142</t>
  </si>
  <si>
    <t>ABDELKADER ABDELLAOUI</t>
  </si>
  <si>
    <t>X3412541P</t>
  </si>
  <si>
    <t>TUFIK MOHAMED MOHAMED</t>
  </si>
  <si>
    <t>45319126H</t>
  </si>
  <si>
    <t>MIMOUN OULED SI HAMMOU KHAYI</t>
  </si>
  <si>
    <t>78723609Z</t>
  </si>
  <si>
    <t>IMPUGNACIÓN DE SACIÓN</t>
  </si>
  <si>
    <t>45300446Z</t>
  </si>
  <si>
    <t>CRISTOBAL FRANCISCO ARAGUEZ IBAÑEZ</t>
  </si>
  <si>
    <t>MOHAMED ACHOR HARIKA</t>
  </si>
  <si>
    <t>45276466T</t>
  </si>
  <si>
    <t>20249333H</t>
  </si>
  <si>
    <t>ROSA MORENO FERNANDEZ,  JENNIFER ESPINAR GIRON, CHAIMA ANJJAR M`HAMED Y SAIHAM HADOU MOHAMED</t>
  </si>
  <si>
    <t>45314046K, 50330445M, 47932625G, 45294971J</t>
  </si>
  <si>
    <t>LIWE ESPAÑOLA SA.</t>
  </si>
  <si>
    <t>A30015382</t>
  </si>
  <si>
    <t xml:space="preserve"> RECLAMACIÓN DE CANTIDAD</t>
  </si>
  <si>
    <t>CC 5/2025</t>
  </si>
  <si>
    <t>A80364243 Y G29904927</t>
  </si>
  <si>
    <t>CLECE SA Y SINDICATO COMISIONES OBRERAS DE MELILLA</t>
  </si>
  <si>
    <t>JOSE LUIS FAUS ARIAS</t>
  </si>
  <si>
    <t>45284329C</t>
  </si>
  <si>
    <t>DANIEL MACHADO ALBA</t>
  </si>
  <si>
    <t>45283100X</t>
  </si>
  <si>
    <t>SERVICIOS FUNERARIOS CASA CALDERON SL.</t>
  </si>
  <si>
    <t>B52001955</t>
  </si>
  <si>
    <t>DESPIDO IMPROCEDENTE Y RECLAMACIÓN CANTIDAD</t>
  </si>
  <si>
    <t>45297344V</t>
  </si>
  <si>
    <t>DÍAS DE LICENCIA POR FALLECIMIENTO</t>
  </si>
  <si>
    <t>45297930M</t>
  </si>
  <si>
    <t>SOLIMAN MOHAMED MOHATAR</t>
  </si>
  <si>
    <t>45282853Q</t>
  </si>
  <si>
    <t>KARIM MOHAMED MHAND</t>
  </si>
  <si>
    <t>RECONOCIMIENTO DE DERECHOS Y RECLAMACIÓN DE CANTIDAD</t>
  </si>
  <si>
    <t>FADMA OUALI AFOUAMI</t>
  </si>
  <si>
    <t>32996240A</t>
  </si>
  <si>
    <t>JOSE FRANCISCO MUÑOZ BERNAL</t>
  </si>
  <si>
    <t>45291957N</t>
  </si>
  <si>
    <t>HAITAT AL LAL MOHTAR Y ENRIQUE REYES LÓPEZ</t>
  </si>
  <si>
    <t>45296732A   45280384P</t>
  </si>
  <si>
    <t>RECLAMACIÓN DE CANTIDAD Y VULNERACIÓN DE DERECHOS FUNDAMENTALES</t>
  </si>
  <si>
    <t>JUAN JOSÉ AGULLÓ PADILLA</t>
  </si>
  <si>
    <t>45291882Y</t>
  </si>
  <si>
    <t>A29956695</t>
  </si>
  <si>
    <t>RADIO TELEVISIÓN MELILLA S.A.</t>
  </si>
  <si>
    <t>Y9004925W</t>
  </si>
  <si>
    <t>JOSÉ MARÍA SÁNCHEZ CHOLBI</t>
  </si>
  <si>
    <t>SARAH LORENA ROLDÁN ESTRADA</t>
  </si>
  <si>
    <t>45305418H</t>
  </si>
  <si>
    <t>TAMIMOUNT BELHASEN</t>
  </si>
  <si>
    <t>NAUFEL EL MALKIOUI OUAHMED</t>
  </si>
  <si>
    <t>01662500Z</t>
  </si>
  <si>
    <t>EL FARKACHI SUPER S.L. Y FARAH EL FARKACHI BALAH</t>
  </si>
  <si>
    <t>B21805940 Y 45321941G</t>
  </si>
  <si>
    <t>45293831T</t>
  </si>
  <si>
    <t>SERVITIEBMEL SL Y TIEB MOHAMED MOHAMED</t>
  </si>
  <si>
    <t>B05373410 Y 45285408H</t>
  </si>
  <si>
    <t>EXTINCION INDEMNIZADA DEL CONTRATO DE TRABAJO, ART. 50 ET, CON VULNERACION DE DERECHOS FUNDAMENTALES Y RECLAMACION DE CANTIDAD</t>
  </si>
  <si>
    <t>ANA MARÍA ZORNOZA BNAHMANE</t>
  </si>
  <si>
    <t>45280740L</t>
  </si>
  <si>
    <t>JORGE FERNANDEZ LECHUGA</t>
  </si>
  <si>
    <t>FRANCISCO JAVIER CUADRADO RODRÍGUEZ</t>
  </si>
  <si>
    <t>45295855T</t>
  </si>
  <si>
    <t>BOUBKER EL FOUNTI EL FOUNTI</t>
  </si>
  <si>
    <t>44073283Q</t>
  </si>
  <si>
    <t>JUAN CARLOS GARCIA GOMEZ</t>
  </si>
  <si>
    <t>45298284Z</t>
  </si>
  <si>
    <t>LUNAMAR BOARFA SAID SL</t>
  </si>
  <si>
    <t>IMPUGNACION SANCION POR FALTA MUY GRAVE CON VULNERACION DE DERECHOS FUNDAMENTALES, ART. 24 CE</t>
  </si>
  <si>
    <t>MONTSERRAT MARGALEF ESCAMILLA</t>
  </si>
  <si>
    <t>45291714E</t>
  </si>
  <si>
    <t>SUPERMERCADO MERCADONA</t>
  </si>
  <si>
    <t>A28425270 Y B86310521</t>
  </si>
  <si>
    <t>45294159Y</t>
  </si>
  <si>
    <t xml:space="preserve">DESPIDO NULO POR VULNERACIÓN DE DERECHOS FUNDAMENTALES </t>
  </si>
  <si>
    <t>CENTROS CARREFOUR SA. Y SUPERSOL SPAIN SLU.</t>
  </si>
  <si>
    <t>JUAN ANTONIO GONZÁLEZ BUENO</t>
  </si>
  <si>
    <t>45315475R</t>
  </si>
  <si>
    <t>ABDESLAM EL FOUNTI</t>
  </si>
  <si>
    <t>X2629221E</t>
  </si>
  <si>
    <t>AGENCIA MÉRIDA LOGÍSTICA, LOGISTIC EXPRESS, S.L., DIRK MANUEL MARTENS JIMÉNEZ, MELILLA EXPRESS, S.L., TRANSFERLO, S.L., CABO EPXRESS, S.L., LE MÁLAGA SERVICIOS LOGÍSTICOS, S.L.</t>
  </si>
  <si>
    <t>B93152171, B44803690, 78983770E, B29142320, B29903879, B29598307 Y B19886621</t>
  </si>
  <si>
    <t>REMEDIOS CARMONA MORENO</t>
  </si>
  <si>
    <t>ZUKAINA CHAIB MOHAMED</t>
  </si>
  <si>
    <t>45305845P</t>
  </si>
  <si>
    <t>LIDIA ROBLES GALLARDO</t>
  </si>
  <si>
    <t>45280095H</t>
  </si>
  <si>
    <t>FARID EL BOUYA</t>
  </si>
  <si>
    <t>X2248061H</t>
  </si>
  <si>
    <t>ZOHIR OCHAN ABDELKADER</t>
  </si>
  <si>
    <t>45312355D</t>
  </si>
  <si>
    <t>CLECE, S.A. Y EULEN, S.A.</t>
  </si>
  <si>
    <t>A80364243 Y A28517308</t>
  </si>
  <si>
    <t>43996733X</t>
  </si>
  <si>
    <t>FRANCISCO JAVIER ARIAS HERRERA</t>
  </si>
  <si>
    <t>45272771P</t>
  </si>
  <si>
    <t>CANALIZACIONES Y CENTROS MELILLA, S.L. Y MAPFRE ESPAÑA CIA DE SEGUROS Y REA, S.A</t>
  </si>
  <si>
    <t>B52026507     A28141935</t>
  </si>
  <si>
    <t>CANTIDAD DE DAÑOS DERIVADO DE ACCIDENTE DE TRABAJO</t>
  </si>
  <si>
    <t>DUNIA MOHAND ABDERRAHMAN</t>
  </si>
  <si>
    <t>45293987H</t>
  </si>
  <si>
    <t>MHAMED IATISSAMI</t>
  </si>
  <si>
    <t>X0978287M</t>
  </si>
  <si>
    <t>INDEMNIZACIÓN DAÑOS Y PERJUICIOS, ACCIDENTE LABORAL</t>
  </si>
  <si>
    <t>SAMIR LACHRAF MARFOUK</t>
  </si>
  <si>
    <t>12490547Y</t>
  </si>
  <si>
    <t>LIDL SUPERMERCADOS, S.A.</t>
  </si>
  <si>
    <t>A60195278</t>
  </si>
  <si>
    <t>DUNIA LAARBI HAMMUAD</t>
  </si>
  <si>
    <t>45308108V</t>
  </si>
  <si>
    <t>EL FARKACHI SUPER, S.L.</t>
  </si>
  <si>
    <t>B21805940</t>
  </si>
  <si>
    <t>RAMÓN CUADRADO TERUEL</t>
  </si>
  <si>
    <t>45278735S</t>
  </si>
  <si>
    <t>HIJOS DE MORENO, S.A.</t>
  </si>
  <si>
    <t>A29904000</t>
  </si>
  <si>
    <t>50330445M, 47932625G Y 45294971J</t>
  </si>
  <si>
    <t>JENNIFER ESPINAR GIRÓN, CHAIMAA NAJJAR MHAMED Y SAIHA AMHADOU MOHAMED</t>
  </si>
  <si>
    <t>LIWE ESPAÑA, S.A.</t>
  </si>
  <si>
    <t>NADIA DOUDOUH</t>
  </si>
  <si>
    <t>Y7732363F</t>
  </si>
  <si>
    <t>GRUPO MILEMA   (MIGUEL LEAL MARTINEZ E HIJOS)</t>
  </si>
  <si>
    <t>ABDULKARIM AMAR MOHAND</t>
  </si>
  <si>
    <t>45289434L</t>
  </si>
  <si>
    <t>DESPIDO NULO POR VULNERACIÓN DE DERECHOS FUNDAMENTALES,</t>
  </si>
  <si>
    <t>45282330E</t>
  </si>
  <si>
    <t>PROSEGUR SOLUCIONES INTEGRALES SEGURIDAD</t>
  </si>
  <si>
    <t>ABDEL LAH MOHAMED MOHAMED</t>
  </si>
  <si>
    <t>45305865M</t>
  </si>
  <si>
    <t>SURESTE SEGURIDAD S.L</t>
  </si>
  <si>
    <t>SERGIO DANIEL SOTO ALARCON</t>
  </si>
  <si>
    <t>60261353L</t>
  </si>
  <si>
    <t>MAXIMOVIL PLUS S.L</t>
  </si>
  <si>
    <t>B92114529</t>
  </si>
  <si>
    <t>NAVIL JALLOUL AHMED</t>
  </si>
  <si>
    <t>45300630Z</t>
  </si>
  <si>
    <t xml:space="preserve"> RECLAMACIÓN DE CANTIDADES</t>
  </si>
  <si>
    <t xml:space="preserve">EULEN S.A. </t>
  </si>
  <si>
    <t>MANUELA ADELAIDA JUAREZ NAJI</t>
  </si>
  <si>
    <t>45317198E</t>
  </si>
  <si>
    <t>PERSIAN MELON S.L.</t>
  </si>
  <si>
    <t>B92171313</t>
  </si>
  <si>
    <t>DESPIDO NULO CON VULNERACIÓN DE DERECHOS FUNDAMENTALES</t>
  </si>
  <si>
    <t>JUAN JOSÉ VENTURA MÁRQUEZ</t>
  </si>
  <si>
    <t>45314268J</t>
  </si>
  <si>
    <t>DRIS ABDESELAM ABDELAH</t>
  </si>
  <si>
    <t>45302363E</t>
  </si>
  <si>
    <t>43996587W</t>
  </si>
  <si>
    <t>SIN</t>
  </si>
  <si>
    <t>MULTISERVICIOSHSL, S.L</t>
  </si>
  <si>
    <t>B06869697</t>
  </si>
  <si>
    <t>ZIZAOUI EL MAACHI MIMON</t>
  </si>
  <si>
    <t>JOSE ANGEL GONZALEZ GARCIA</t>
  </si>
  <si>
    <t>45306992M</t>
  </si>
  <si>
    <t>ROSA MORENO FENANDEZ</t>
  </si>
  <si>
    <t>45314046k</t>
  </si>
  <si>
    <t>DESPIDO y CANTIDAD</t>
  </si>
  <si>
    <t>LIWE ESPAÑOLA SA</t>
  </si>
  <si>
    <t>FELIX RUIZ GOMEZ</t>
  </si>
  <si>
    <t>45301661X</t>
  </si>
  <si>
    <t>ENRIQUE ALCOBA VIZCAINO</t>
  </si>
  <si>
    <t>CLUB DE BILLAR MELILLA S.L</t>
  </si>
  <si>
    <t>RECLAMACIÓN DE CANTIDADES Y VULNERACIÓN DE DERECHOS FUNDAMENTALES</t>
  </si>
  <si>
    <t>EL HASSAN ESSARARI MOHAND</t>
  </si>
  <si>
    <t>45303302H</t>
  </si>
  <si>
    <t>MERHOLLAND SL</t>
  </si>
  <si>
    <t>B16815409</t>
  </si>
  <si>
    <t>JOSE LUIS TOMAS GOMEZ</t>
  </si>
  <si>
    <t>45314399Y</t>
  </si>
  <si>
    <t>AUTORIDAD PORTUARIA DE MELILLA,</t>
  </si>
  <si>
    <t>Q2967003A</t>
  </si>
  <si>
    <t>RECONOCIMIENTO DE DERECHO y RECLAMACIÓN SALARIAL</t>
  </si>
  <si>
    <t>PAULA PÉREZ NIETO</t>
  </si>
  <si>
    <t>45311770E</t>
  </si>
  <si>
    <t>SALZILLO SERVICIOS INTEGRALES, S.L.,          EULEN SERVICIOS
SOCIOSANITARIOS S.A.,</t>
  </si>
  <si>
    <t>B73589814    A79022299</t>
  </si>
  <si>
    <t>EL FARKACHI SUPER, S.L., FARAH EL FARKACHI BALAH,</t>
  </si>
  <si>
    <t>INDEMNIZACIÓN POR DAÑOS Y PERJUICIOS DERIVADOS DE LA VULNERACIÓN DE DERECHOS FUNDAMENTALES</t>
  </si>
  <si>
    <t>RECLAMACION CANTIDAD</t>
  </si>
  <si>
    <t>FOUAD EL KAICHOUHI BOURAATOUR</t>
  </si>
  <si>
    <t>54502546K</t>
  </si>
  <si>
    <t>LA COMPAÑÍA MINAS DEL RIF MELILLA S.L</t>
  </si>
  <si>
    <t>B52037231</t>
  </si>
  <si>
    <t>MARIA A. MARTINEZ FERNANDEZ</t>
  </si>
  <si>
    <t>45321480A</t>
  </si>
  <si>
    <t>CARAI SL</t>
  </si>
  <si>
    <t>REDOUAN EL BOUADLI EL MOUDNI</t>
  </si>
  <si>
    <t>RECLAMACION DE CANTIDADES DERIVADAS DE COMPLEMENTO DE ANTIGUEDAD</t>
  </si>
  <si>
    <t>HAYAT EL KHADIRI EL KAMBOUI</t>
  </si>
  <si>
    <t>44070666K</t>
  </si>
  <si>
    <t>RECLAMACIÓN DE CANTIDADES DERIVADAS DE PROCESO DE COMPLEMENTO DE INCAPACIDAD TEMPORAL</t>
  </si>
  <si>
    <t>UTE SAD IMSERSO MELILLA,ATENDE SERVICIOS INTEGRADOS SL. Y CLECE SA.</t>
  </si>
  <si>
    <t>U55467658, B987551472 y A80364243</t>
  </si>
  <si>
    <t>MARIAM CHAIB MOHAMED</t>
  </si>
  <si>
    <t>45303363X</t>
  </si>
  <si>
    <t>UTE SAD IMSERSO MELILLA,  ATENDE SERVICIOS INTEGRADOS SL.  Y CLECE SA.</t>
  </si>
  <si>
    <t>MOSTAFA ZIZAOUI EL MAACHI</t>
  </si>
  <si>
    <t>01663448L</t>
  </si>
  <si>
    <t>RAFAEL FRANCISCO GAMEZ CARRILLO</t>
  </si>
  <si>
    <t>45287466Y</t>
  </si>
  <si>
    <t xml:space="preserve">RECONOCIMIENTO DE DERECHO y RECLAMACIÓN CANTIDAD </t>
  </si>
  <si>
    <t>EXTINSE MELILLA S.L.</t>
  </si>
  <si>
    <t>B29905312</t>
  </si>
  <si>
    <t>ROMAISA MARZOK EL MOUJAHID</t>
  </si>
  <si>
    <t>01662101Y</t>
  </si>
  <si>
    <t>45357274D</t>
  </si>
  <si>
    <t>MOHAMED NASSIRI EL BAKARI</t>
  </si>
  <si>
    <t>KHADIJA AQQA</t>
  </si>
  <si>
    <t>Y0795943L</t>
  </si>
  <si>
    <t>RAFIK MOHAMED MOHAMED</t>
  </si>
  <si>
    <t>45304576G.</t>
  </si>
  <si>
    <t>DESPIDO IMPROCEDENTE y RECLAMACIóN SALARIAL</t>
  </si>
  <si>
    <t>DESPIDO NULO CON VULNERACION DE DERECHOS FUNDAMENTALES Y RECLAMACION DE CANTIDAD</t>
  </si>
  <si>
    <t>PATRICIA VAZQUEZ DOMINGUEZ</t>
  </si>
  <si>
    <t>09078655A</t>
  </si>
  <si>
    <t>RECLAMACION DE CANTIDAD POR IMPAGO DE SALARIOS Y HORAS EXTRAORDINARIAS</t>
  </si>
  <si>
    <t>ALVALOP SERVICIOS XXI, S.L.U</t>
  </si>
  <si>
    <t>FATIHA EL AMMOURI</t>
  </si>
  <si>
    <t>Y6795729W</t>
  </si>
  <si>
    <t>RECLAMACION DE CANTIDAD Y RESOLUCION DE CONTRATO DE TRABAJAO POR LA VIA DEL ARTICULO 50 ET</t>
  </si>
  <si>
    <t>Josefa Martin Ortega y Juan José
Collado Martin</t>
  </si>
  <si>
    <t>MARIA DEL CARMEN MEDINA MILLET</t>
  </si>
  <si>
    <t>45294167Z</t>
  </si>
  <si>
    <t>RECLAMACION DE CANTIDADES (VACACIONES PERIODO IT)</t>
  </si>
  <si>
    <t>CLECE S.A.</t>
  </si>
  <si>
    <t>RECONOCIMIENTO DE DERECHOS y RECLAMACIÓN DE CANTIDADES (INDEMNIZACIÓN CONVENIO IPT-AT)</t>
  </si>
  <si>
    <t>KEVIN CRISTIAN ALCAIDE AGUIRRE</t>
  </si>
  <si>
    <t>45309745K</t>
  </si>
  <si>
    <t>B 20781969.</t>
  </si>
  <si>
    <t>DESPIDO NULO, VULNERACIÓN DEL DERECHO FUNDAMENTAL A LA INTEGRIDAD FÍSICA Y MORAL, ART, 15 CE E IGUALDAD Y NO DISCRIMINACIÓN, ART 14 CE</t>
  </si>
  <si>
    <t>DOLORES PILAR VILLALTA CEREZUELA</t>
  </si>
  <si>
    <t>45271797T</t>
  </si>
  <si>
    <t>DAVID MARIN SANCHEZ</t>
  </si>
  <si>
    <r>
      <t>45218396M y DNI.</t>
    </r>
    <r>
      <rPr>
        <sz val="10"/>
        <color rgb="FFFF0000"/>
        <rFont val="Arial"/>
        <family val="2"/>
      </rPr>
      <t xml:space="preserve"> desconocido</t>
    </r>
  </si>
  <si>
    <t>SOFIA LATORRE EL HOUT</t>
  </si>
  <si>
    <t>45297847Z</t>
  </si>
  <si>
    <t>ROSA MARÍA MARTÍNEZ LOPEZ</t>
  </si>
  <si>
    <t>45293174X</t>
  </si>
  <si>
    <t>MUSTAFA AL LAL MUSTAFA</t>
  </si>
  <si>
    <t>45311215L</t>
  </si>
  <si>
    <t>AUDITORES ENERGETICOS MELILLA SL (AUDEMEL, SL)  ,  SERVICIOS AUXILIARES Y LIMPIEZAS DE MELILA (SALME SL), JESÚS RODRÍGUEZ PÉREZ</t>
  </si>
  <si>
    <t>B52028099     B29956901   45273266C</t>
  </si>
  <si>
    <t>DESPIDO IMPROCEDENTE y RECLAMACIÓN SALARIAL</t>
  </si>
  <si>
    <t>ABDILMALIK CHILALI ABDELKADER</t>
  </si>
  <si>
    <t>DESPIDO IMPROCEDENTE, SUBSIDIARIAMENTE NULO Y RECLAMACIÓN SALARIAL</t>
  </si>
  <si>
    <t>45298857N</t>
  </si>
  <si>
    <t>ABDILJALIL ARDOUN EL HABTI</t>
  </si>
  <si>
    <t>43995800C</t>
  </si>
  <si>
    <t>BUZIAN CHILALI ABDELKADER</t>
  </si>
  <si>
    <t>45278003L</t>
  </si>
  <si>
    <t>AUDITORES ENERGETICOS MELILLA SL (AUDEMEL. SL)  ,  SERVICIOS AUXILIARES Y LIMPIEZAS DE MELILA (SALME SL.),  JESÚS RODRÍGUEZ PÉREZ</t>
  </si>
  <si>
    <t>SAID EL JANTAFI SAID</t>
  </si>
  <si>
    <t>X2666856Y</t>
  </si>
  <si>
    <t xml:space="preserve">MULTISERVICIOS YAKHLEF S.L. </t>
  </si>
  <si>
    <t>B67711739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</si>
</sst>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[$€-C0A];[Red]\-#,##0.00\ [$€-C0A]"/>
    <numFmt numFmtId="165" formatCode="[$-C0A]dd/mm/yyyy"/>
    <numFmt numFmtId="166" formatCode="hh:mm"/>
    <numFmt numFmtId="167" formatCode="hh:mm:ss"/>
    <numFmt numFmtId="168" formatCode="dd/mm/yy"/>
  </numFmts>
  <fonts count="29" x14ac:knownFonts="1">
    <font>
      <sz val="10"/>
      <name val="Arial"/>
      <family val="2"/>
      <charset val="1"/>
    </font>
    <font>
      <sz val="10"/>
      <color rgb="FFFFFFFF"/>
      <name val="Mangal"/>
      <family val="2"/>
      <charset val="1"/>
    </font>
    <font>
      <sz val="10"/>
      <color rgb="FF000000"/>
      <name val="Mangal"/>
      <family val="2"/>
      <charset val="1"/>
    </font>
    <font>
      <sz val="10"/>
      <color rgb="FFCC0000"/>
      <name val="Mangal"/>
      <family val="2"/>
      <charset val="1"/>
    </font>
    <font>
      <sz val="10"/>
      <color rgb="FF808080"/>
      <name val="Mangal"/>
      <family val="2"/>
      <charset val="1"/>
    </font>
    <font>
      <sz val="10"/>
      <color rgb="FF006600"/>
      <name val="Mangal"/>
      <family val="2"/>
      <charset val="1"/>
    </font>
    <font>
      <u/>
      <sz val="10"/>
      <color rgb="FF0000EE"/>
      <name val="Mangal"/>
      <family val="2"/>
      <charset val="1"/>
    </font>
    <font>
      <sz val="10"/>
      <color rgb="FF996600"/>
      <name val="Mangal"/>
      <family val="2"/>
      <charset val="1"/>
    </font>
    <font>
      <sz val="10"/>
      <color rgb="FF333333"/>
      <name val="Mangal"/>
      <family val="2"/>
      <charset val="1"/>
    </font>
    <font>
      <u/>
      <sz val="10"/>
      <name val="Mangal"/>
      <family val="2"/>
      <charset val="1"/>
    </font>
    <font>
      <sz val="10"/>
      <name val="Mangal"/>
      <family val="2"/>
      <charset val="1"/>
    </font>
    <font>
      <sz val="11"/>
      <name val="Arial Black"/>
      <family val="2"/>
      <charset val="1"/>
    </font>
    <font>
      <sz val="24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rgb="FFC9211E"/>
      <name val="Arial"/>
      <family val="2"/>
      <charset val="1"/>
    </font>
    <font>
      <sz val="10"/>
      <color rgb="FFC9211E"/>
      <name val="Arial"/>
      <family val="2"/>
      <charset val="1"/>
    </font>
    <font>
      <b/>
      <sz val="10"/>
      <color rgb="FFC9211E"/>
      <name val="Arial"/>
      <family val="2"/>
      <charset val="1"/>
    </font>
    <font>
      <b/>
      <sz val="11"/>
      <color rgb="FFC9211E"/>
      <name val="Arial"/>
      <family val="2"/>
      <charset val="1"/>
    </font>
    <font>
      <sz val="12"/>
      <color rgb="FF000000"/>
      <name val="Arial"/>
      <family val="2"/>
      <charset val="1"/>
    </font>
    <font>
      <sz val="10"/>
      <name val="Arial Black"/>
      <family val="2"/>
      <charset val="1"/>
    </font>
    <font>
      <sz val="10"/>
      <color rgb="FF444444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111111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11"/>
      <name val="Calibri"/>
      <family val="2"/>
    </font>
    <font>
      <sz val="10"/>
      <name val="Arial"/>
      <family val="2"/>
    </font>
    <font>
      <sz val="10"/>
      <color rgb="FF444444"/>
      <name val="Arial"/>
      <family val="2"/>
    </font>
    <font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EE7E5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DEE7E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00FFFF"/>
      </patternFill>
    </fill>
    <fill>
      <patternFill patternType="solid">
        <fgColor rgb="FF66FF99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EEEEEE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theme="0"/>
        <bgColor rgb="FFDEE7E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6666FF"/>
      </left>
      <right style="medium">
        <color rgb="FF6666FF"/>
      </right>
      <top style="medium">
        <color rgb="FF6666FF"/>
      </top>
      <bottom style="medium">
        <color rgb="FF6666FF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</borders>
  <cellStyleXfs count="19">
    <xf numFmtId="0" fontId="0" fillId="0" borderId="0"/>
    <xf numFmtId="0" fontId="1" fillId="2" borderId="0" applyBorder="0" applyProtection="0"/>
    <xf numFmtId="0" fontId="2" fillId="0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5" borderId="0" applyBorder="0" applyProtection="0"/>
    <xf numFmtId="0" fontId="1" fillId="6" borderId="0" applyBorder="0" applyProtection="0"/>
    <xf numFmtId="0" fontId="4" fillId="0" borderId="0" applyBorder="0" applyProtection="0"/>
    <xf numFmtId="0" fontId="5" fillId="7" borderId="0" applyBorder="0" applyProtection="0"/>
    <xf numFmtId="0" fontId="2" fillId="0" borderId="0" applyBorder="0" applyProtection="0"/>
    <xf numFmtId="0" fontId="2" fillId="0" borderId="0" applyBorder="0" applyProtection="0"/>
    <xf numFmtId="0" fontId="6" fillId="0" borderId="0" applyBorder="0" applyProtection="0"/>
    <xf numFmtId="0" fontId="7" fillId="8" borderId="0" applyBorder="0" applyProtection="0"/>
    <xf numFmtId="0" fontId="8" fillId="8" borderId="1" applyProtection="0"/>
    <xf numFmtId="164" fontId="9" fillId="0" borderId="2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>
      <alignment horizontal="center" textRotation="90"/>
    </xf>
    <xf numFmtId="0" fontId="3" fillId="0" borderId="0" applyBorder="0" applyProtection="0"/>
  </cellStyleXfs>
  <cellXfs count="170">
    <xf numFmtId="0" fontId="0" fillId="0" borderId="0" xfId="0"/>
    <xf numFmtId="0" fontId="0" fillId="0" borderId="2" xfId="0" applyFont="1" applyBorder="1" applyAlignment="1">
      <alignment horizontal="center"/>
    </xf>
    <xf numFmtId="165" fontId="0" fillId="0" borderId="2" xfId="0" applyNumberFormat="1" applyFont="1" applyBorder="1" applyAlignment="1">
      <alignment horizontal="center"/>
    </xf>
    <xf numFmtId="166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wrapText="1"/>
    </xf>
    <xf numFmtId="0" fontId="0" fillId="0" borderId="2" xfId="0" applyFont="1" applyBorder="1" applyAlignment="1">
      <alignment horizontal="left"/>
    </xf>
    <xf numFmtId="0" fontId="11" fillId="9" borderId="3" xfId="0" applyFont="1" applyFill="1" applyBorder="1" applyAlignment="1">
      <alignment horizontal="center" vertical="center" wrapText="1"/>
    </xf>
    <xf numFmtId="165" fontId="11" fillId="9" borderId="3" xfId="0" applyNumberFormat="1" applyFont="1" applyFill="1" applyBorder="1" applyAlignment="1">
      <alignment horizontal="center" vertical="center" wrapText="1"/>
    </xf>
    <xf numFmtId="166" fontId="11" fillId="9" borderId="3" xfId="0" applyNumberFormat="1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165" fontId="0" fillId="0" borderId="2" xfId="0" applyNumberFormat="1" applyFont="1" applyBorder="1" applyAlignment="1">
      <alignment horizontal="center" wrapText="1"/>
    </xf>
    <xf numFmtId="166" fontId="0" fillId="0" borderId="2" xfId="0" applyNumberFormat="1" applyFont="1" applyBorder="1" applyAlignment="1">
      <alignment horizontal="center" wrapText="1"/>
    </xf>
    <xf numFmtId="167" fontId="0" fillId="0" borderId="2" xfId="0" applyNumberFormat="1" applyFont="1" applyBorder="1" applyAlignment="1">
      <alignment horizontal="center" vertical="center" wrapText="1"/>
    </xf>
    <xf numFmtId="167" fontId="0" fillId="0" borderId="2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167" fontId="0" fillId="0" borderId="2" xfId="0" applyNumberFormat="1" applyFont="1" applyBorder="1" applyAlignment="1">
      <alignment horizontal="left" wrapText="1"/>
    </xf>
    <xf numFmtId="0" fontId="0" fillId="11" borderId="2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13" fillId="0" borderId="2" xfId="0" applyFont="1" applyBorder="1" applyAlignment="1">
      <alignment horizontal="left" wrapText="1"/>
    </xf>
    <xf numFmtId="0" fontId="15" fillId="0" borderId="2" xfId="0" applyFont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166" fontId="15" fillId="0" borderId="2" xfId="0" applyNumberFormat="1" applyFont="1" applyBorder="1" applyAlignment="1">
      <alignment horizontal="center"/>
    </xf>
    <xf numFmtId="167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wrapText="1"/>
    </xf>
    <xf numFmtId="0" fontId="15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 vertical="center" wrapText="1"/>
    </xf>
    <xf numFmtId="165" fontId="0" fillId="0" borderId="2" xfId="0" applyNumberFormat="1" applyFont="1" applyBorder="1" applyAlignment="1">
      <alignment horizontal="center" vertical="center" wrapText="1"/>
    </xf>
    <xf numFmtId="166" fontId="0" fillId="0" borderId="2" xfId="0" applyNumberFormat="1" applyFont="1" applyBorder="1" applyAlignment="1">
      <alignment horizontal="center" vertical="center" wrapText="1"/>
    </xf>
    <xf numFmtId="166" fontId="0" fillId="0" borderId="0" xfId="0" applyNumberFormat="1" applyFont="1" applyAlignment="1">
      <alignment horizontal="center" wrapText="1"/>
    </xf>
    <xf numFmtId="167" fontId="0" fillId="0" borderId="2" xfId="0" applyNumberFormat="1" applyFont="1" applyBorder="1" applyAlignment="1">
      <alignment horizontal="left"/>
    </xf>
    <xf numFmtId="165" fontId="0" fillId="0" borderId="2" xfId="0" applyNumberFormat="1" applyFont="1" applyBorder="1" applyAlignment="1">
      <alignment horizontal="center" vertical="center"/>
    </xf>
    <xf numFmtId="165" fontId="0" fillId="0" borderId="0" xfId="0" applyNumberFormat="1" applyFont="1" applyAlignment="1">
      <alignment horizontal="center"/>
    </xf>
    <xf numFmtId="166" fontId="16" fillId="0" borderId="2" xfId="0" applyNumberFormat="1" applyFont="1" applyBorder="1" applyAlignment="1">
      <alignment horizontal="center"/>
    </xf>
    <xf numFmtId="0" fontId="0" fillId="11" borderId="2" xfId="0" applyFont="1" applyFill="1" applyBorder="1" applyAlignment="1">
      <alignment horizontal="left"/>
    </xf>
    <xf numFmtId="0" fontId="18" fillId="0" borderId="0" xfId="0" applyFont="1"/>
    <xf numFmtId="165" fontId="0" fillId="0" borderId="2" xfId="0" applyNumberFormat="1" applyFont="1" applyBorder="1" applyAlignment="1">
      <alignment horizontal="left" vertical="center" wrapText="1"/>
    </xf>
    <xf numFmtId="166" fontId="0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 readingOrder="1"/>
    </xf>
    <xf numFmtId="0" fontId="13" fillId="0" borderId="2" xfId="0" applyFont="1" applyBorder="1" applyAlignment="1">
      <alignment horizontal="center"/>
    </xf>
    <xf numFmtId="165" fontId="13" fillId="0" borderId="2" xfId="0" applyNumberFormat="1" applyFont="1" applyBorder="1" applyAlignment="1">
      <alignment horizontal="center"/>
    </xf>
    <xf numFmtId="166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/>
    <xf numFmtId="0" fontId="0" fillId="12" borderId="2" xfId="0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 readingOrder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9" fillId="12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vertical="center" wrapText="1" readingOrder="1"/>
    </xf>
    <xf numFmtId="168" fontId="0" fillId="12" borderId="2" xfId="0" applyNumberFormat="1" applyFill="1" applyBorder="1" applyAlignment="1">
      <alignment horizontal="center" vertical="center"/>
    </xf>
    <xf numFmtId="167" fontId="0" fillId="12" borderId="2" xfId="0" applyNumberFormat="1" applyFont="1" applyFill="1" applyBorder="1" applyAlignment="1">
      <alignment horizontal="center" vertical="center" wrapText="1"/>
    </xf>
    <xf numFmtId="167" fontId="0" fillId="12" borderId="2" xfId="0" applyNumberFormat="1" applyFont="1" applyFill="1" applyBorder="1" applyAlignment="1">
      <alignment horizontal="center" vertical="center"/>
    </xf>
    <xf numFmtId="0" fontId="20" fillId="0" borderId="0" xfId="0" applyFont="1"/>
    <xf numFmtId="168" fontId="0" fillId="12" borderId="2" xfId="0" applyNumberFormat="1" applyFont="1" applyFill="1" applyBorder="1" applyAlignment="1">
      <alignment horizontal="center" vertical="center"/>
    </xf>
    <xf numFmtId="167" fontId="0" fillId="12" borderId="5" xfId="0" applyNumberFormat="1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168" fontId="13" fillId="12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167" fontId="13" fillId="12" borderId="2" xfId="0" applyNumberFormat="1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 readingOrder="1"/>
    </xf>
    <xf numFmtId="0" fontId="21" fillId="0" borderId="2" xfId="0" applyFont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/>
    </xf>
    <xf numFmtId="165" fontId="0" fillId="12" borderId="2" xfId="0" applyNumberFormat="1" applyFill="1" applyBorder="1" applyAlignment="1">
      <alignment horizontal="center" vertical="center"/>
    </xf>
    <xf numFmtId="167" fontId="13" fillId="12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wrapText="1" readingOrder="1"/>
    </xf>
    <xf numFmtId="168" fontId="22" fillId="12" borderId="2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2" fillId="0" borderId="2" xfId="0" applyFont="1" applyBorder="1" applyAlignment="1">
      <alignment horizontal="left"/>
    </xf>
    <xf numFmtId="167" fontId="22" fillId="12" borderId="2" xfId="0" applyNumberFormat="1" applyFont="1" applyFill="1" applyBorder="1" applyAlignment="1">
      <alignment horizontal="center" vertical="center"/>
    </xf>
    <xf numFmtId="167" fontId="22" fillId="12" borderId="2" xfId="0" applyNumberFormat="1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wrapText="1" readingOrder="1"/>
    </xf>
    <xf numFmtId="14" fontId="0" fillId="12" borderId="2" xfId="0" applyNumberFormat="1" applyFont="1" applyFill="1" applyBorder="1" applyAlignment="1">
      <alignment horizontal="center" vertical="center"/>
    </xf>
    <xf numFmtId="0" fontId="0" fillId="12" borderId="5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left" wrapText="1" readingOrder="1"/>
    </xf>
    <xf numFmtId="0" fontId="23" fillId="0" borderId="7" xfId="0" applyFont="1" applyBorder="1" applyAlignment="1">
      <alignment horizontal="center"/>
    </xf>
    <xf numFmtId="0" fontId="23" fillId="0" borderId="7" xfId="0" applyFont="1" applyBorder="1" applyAlignment="1">
      <alignment horizontal="left"/>
    </xf>
    <xf numFmtId="0" fontId="23" fillId="0" borderId="7" xfId="0" applyFont="1" applyBorder="1" applyAlignment="1">
      <alignment horizontal="left" wrapText="1" readingOrder="1"/>
    </xf>
    <xf numFmtId="0" fontId="23" fillId="0" borderId="0" xfId="0" applyFont="1"/>
    <xf numFmtId="0" fontId="23" fillId="13" borderId="7" xfId="0" applyFont="1" applyFill="1" applyBorder="1" applyAlignment="1">
      <alignment horizontal="center"/>
    </xf>
    <xf numFmtId="0" fontId="24" fillId="13" borderId="7" xfId="0" applyFont="1" applyFill="1" applyBorder="1" applyAlignment="1">
      <alignment horizontal="center"/>
    </xf>
    <xf numFmtId="167" fontId="24" fillId="13" borderId="7" xfId="0" applyNumberFormat="1" applyFont="1" applyFill="1" applyBorder="1" applyAlignment="1">
      <alignment horizontal="center"/>
    </xf>
    <xf numFmtId="0" fontId="24" fillId="13" borderId="7" xfId="0" applyFont="1" applyFill="1" applyBorder="1" applyAlignment="1">
      <alignment horizontal="center" wrapText="1" readingOrder="1"/>
    </xf>
    <xf numFmtId="168" fontId="23" fillId="0" borderId="7" xfId="0" applyNumberFormat="1" applyFont="1" applyBorder="1" applyAlignment="1">
      <alignment horizontal="center"/>
    </xf>
    <xf numFmtId="166" fontId="24" fillId="0" borderId="7" xfId="0" applyNumberFormat="1" applyFont="1" applyBorder="1" applyAlignment="1">
      <alignment horizontal="center"/>
    </xf>
    <xf numFmtId="167" fontId="23" fillId="0" borderId="7" xfId="0" applyNumberFormat="1" applyFont="1" applyBorder="1" applyAlignment="1">
      <alignment horizontal="left"/>
    </xf>
    <xf numFmtId="167" fontId="24" fillId="0" borderId="7" xfId="0" applyNumberFormat="1" applyFont="1" applyBorder="1" applyAlignment="1">
      <alignment horizontal="center"/>
    </xf>
    <xf numFmtId="0" fontId="0" fillId="0" borderId="8" xfId="0" applyFont="1" applyBorder="1" applyAlignment="1">
      <alignment horizontal="left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6" fillId="0" borderId="2" xfId="0" applyFont="1" applyBorder="1" applyAlignment="1">
      <alignment horizontal="left"/>
    </xf>
    <xf numFmtId="0" fontId="27" fillId="0" borderId="0" xfId="0" applyFont="1"/>
    <xf numFmtId="168" fontId="21" fillId="12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168" fontId="26" fillId="12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left" vertical="center" wrapText="1"/>
    </xf>
    <xf numFmtId="14" fontId="0" fillId="0" borderId="2" xfId="0" applyNumberFormat="1" applyFont="1" applyBorder="1" applyAlignment="1">
      <alignment horizontal="left" vertical="center" wrapText="1"/>
    </xf>
    <xf numFmtId="0" fontId="26" fillId="0" borderId="0" xfId="0" applyFont="1"/>
    <xf numFmtId="167" fontId="0" fillId="12" borderId="2" xfId="0" applyNumberFormat="1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12" borderId="12" xfId="0" applyFont="1" applyFill="1" applyBorder="1" applyAlignment="1">
      <alignment horizontal="center" vertical="center"/>
    </xf>
    <xf numFmtId="167" fontId="0" fillId="12" borderId="12" xfId="0" applyNumberFormat="1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 readingOrder="1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 readingOrder="1"/>
    </xf>
    <xf numFmtId="167" fontId="0" fillId="14" borderId="2" xfId="0" applyNumberFormat="1" applyFont="1" applyFill="1" applyBorder="1" applyAlignment="1">
      <alignment vertical="center"/>
    </xf>
    <xf numFmtId="0" fontId="0" fillId="14" borderId="2" xfId="0" applyFont="1" applyFill="1" applyBorder="1" applyAlignment="1">
      <alignment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vertical="center" wrapText="1" readingOrder="1"/>
    </xf>
    <xf numFmtId="167" fontId="0" fillId="14" borderId="2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left" vertical="center" wrapText="1" readingOrder="1"/>
    </xf>
    <xf numFmtId="0" fontId="0" fillId="15" borderId="9" xfId="0" applyFont="1" applyFill="1" applyBorder="1" applyAlignment="1">
      <alignment horizontal="left" vertical="center" wrapText="1" readingOrder="1"/>
    </xf>
    <xf numFmtId="0" fontId="0" fillId="14" borderId="9" xfId="0" applyFont="1" applyFill="1" applyBorder="1" applyAlignment="1">
      <alignment horizontal="center" vertical="center" wrapText="1"/>
    </xf>
    <xf numFmtId="0" fontId="25" fillId="15" borderId="7" xfId="0" applyFont="1" applyFill="1" applyBorder="1" applyAlignment="1">
      <alignment vertical="center"/>
    </xf>
    <xf numFmtId="0" fontId="0" fillId="14" borderId="7" xfId="0" applyFont="1" applyFill="1" applyBorder="1" applyAlignment="1">
      <alignment horizontal="center" vertical="center" wrapText="1"/>
    </xf>
    <xf numFmtId="0" fontId="0" fillId="15" borderId="10" xfId="0" applyFont="1" applyFill="1" applyBorder="1" applyAlignment="1">
      <alignment horizontal="left" vertical="center" wrapText="1" readingOrder="1"/>
    </xf>
    <xf numFmtId="0" fontId="0" fillId="14" borderId="10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left" vertical="center" wrapText="1"/>
    </xf>
    <xf numFmtId="168" fontId="0" fillId="14" borderId="2" xfId="0" applyNumberFormat="1" applyFill="1" applyBorder="1" applyAlignment="1">
      <alignment horizontal="center" vertical="center"/>
    </xf>
    <xf numFmtId="0" fontId="0" fillId="15" borderId="2" xfId="0" applyFont="1" applyFill="1" applyBorder="1" applyAlignment="1">
      <alignment vertical="center" wrapText="1"/>
    </xf>
    <xf numFmtId="0" fontId="21" fillId="15" borderId="2" xfId="0" applyFont="1" applyFill="1" applyBorder="1" applyAlignment="1">
      <alignment vertical="center" wrapText="1"/>
    </xf>
    <xf numFmtId="0" fontId="0" fillId="15" borderId="2" xfId="0" applyFont="1" applyFill="1" applyBorder="1" applyAlignment="1">
      <alignment horizontal="center" vertical="center" wrapText="1"/>
    </xf>
    <xf numFmtId="167" fontId="0" fillId="14" borderId="2" xfId="0" applyNumberFormat="1" applyFont="1" applyFill="1" applyBorder="1" applyAlignment="1">
      <alignment horizontal="center" vertical="center"/>
    </xf>
    <xf numFmtId="168" fontId="0" fillId="14" borderId="2" xfId="0" applyNumberFormat="1" applyFill="1" applyBorder="1" applyAlignment="1">
      <alignment horizontal="center" vertical="center" wrapText="1"/>
    </xf>
    <xf numFmtId="168" fontId="0" fillId="14" borderId="2" xfId="0" applyNumberFormat="1" applyFont="1" applyFill="1" applyBorder="1" applyAlignment="1">
      <alignment horizontal="center" vertical="center"/>
    </xf>
    <xf numFmtId="166" fontId="0" fillId="15" borderId="2" xfId="0" applyNumberFormat="1" applyFont="1" applyFill="1" applyBorder="1" applyAlignment="1">
      <alignment horizontal="center" vertical="center" wrapText="1"/>
    </xf>
    <xf numFmtId="166" fontId="13" fillId="0" borderId="2" xfId="0" applyNumberFormat="1" applyFont="1" applyBorder="1" applyAlignment="1">
      <alignment horizontal="center" vertical="center" wrapText="1"/>
    </xf>
    <xf numFmtId="166" fontId="21" fillId="0" borderId="2" xfId="0" applyNumberFormat="1" applyFont="1" applyBorder="1" applyAlignment="1">
      <alignment horizontal="center" vertical="center" wrapText="1"/>
    </xf>
    <xf numFmtId="166" fontId="21" fillId="15" borderId="2" xfId="0" applyNumberFormat="1" applyFont="1" applyFill="1" applyBorder="1" applyAlignment="1">
      <alignment horizontal="center" vertical="center" wrapText="1"/>
    </xf>
    <xf numFmtId="166" fontId="22" fillId="0" borderId="2" xfId="0" applyNumberFormat="1" applyFont="1" applyBorder="1" applyAlignment="1">
      <alignment horizontal="center"/>
    </xf>
    <xf numFmtId="165" fontId="13" fillId="0" borderId="2" xfId="0" applyNumberFormat="1" applyFont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165" fontId="0" fillId="15" borderId="2" xfId="0" applyNumberFormat="1" applyFont="1" applyFill="1" applyBorder="1" applyAlignment="1">
      <alignment horizontal="center" vertical="center" wrapText="1"/>
    </xf>
    <xf numFmtId="165" fontId="21" fillId="15" borderId="2" xfId="0" applyNumberFormat="1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/>
    </xf>
    <xf numFmtId="0" fontId="21" fillId="1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1" fillId="12" borderId="3" xfId="0" applyFont="1" applyFill="1" applyBorder="1" applyAlignment="1">
      <alignment vertical="center" wrapText="1"/>
    </xf>
    <xf numFmtId="167" fontId="0" fillId="12" borderId="2" xfId="0" applyNumberFormat="1" applyFont="1" applyFill="1" applyBorder="1" applyAlignment="1">
      <alignment vertical="center" wrapText="1"/>
    </xf>
    <xf numFmtId="0" fontId="0" fillId="12" borderId="2" xfId="0" applyFont="1" applyFill="1" applyBorder="1" applyAlignment="1">
      <alignment vertical="center" wrapText="1"/>
    </xf>
    <xf numFmtId="0" fontId="0" fillId="0" borderId="0" xfId="0" applyAlignment="1"/>
    <xf numFmtId="0" fontId="20" fillId="0" borderId="0" xfId="0" applyFont="1" applyAlignment="1"/>
    <xf numFmtId="0" fontId="13" fillId="12" borderId="2" xfId="0" applyFont="1" applyFill="1" applyBorder="1" applyAlignment="1">
      <alignment vertical="center" wrapText="1"/>
    </xf>
    <xf numFmtId="0" fontId="0" fillId="12" borderId="12" xfId="0" applyFont="1" applyFill="1" applyBorder="1" applyAlignment="1">
      <alignment vertical="center" wrapText="1"/>
    </xf>
    <xf numFmtId="0" fontId="0" fillId="14" borderId="11" xfId="0" applyFont="1" applyFill="1" applyBorder="1" applyAlignment="1">
      <alignment vertical="center" wrapText="1"/>
    </xf>
    <xf numFmtId="0" fontId="22" fillId="12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readingOrder="1"/>
    </xf>
    <xf numFmtId="0" fontId="24" fillId="13" borderId="7" xfId="0" applyFont="1" applyFill="1" applyBorder="1" applyAlignment="1">
      <alignment horizontal="center"/>
    </xf>
  </cellXfs>
  <cellStyles count="19">
    <cellStyle name="Accent 1 14" xfId="1" xr:uid="{00000000-0005-0000-0000-000006000000}"/>
    <cellStyle name="Accent 13" xfId="2" xr:uid="{00000000-0005-0000-0000-000007000000}"/>
    <cellStyle name="Accent 2 15" xfId="3" xr:uid="{00000000-0005-0000-0000-000008000000}"/>
    <cellStyle name="Accent 3 16" xfId="4" xr:uid="{00000000-0005-0000-0000-000009000000}"/>
    <cellStyle name="Bad 10" xfId="5" xr:uid="{00000000-0005-0000-0000-00000A000000}"/>
    <cellStyle name="Error 12" xfId="6" xr:uid="{00000000-0005-0000-0000-00000B000000}"/>
    <cellStyle name="Footnote 5" xfId="7" xr:uid="{00000000-0005-0000-0000-00000C000000}"/>
    <cellStyle name="Good 8" xfId="8" xr:uid="{00000000-0005-0000-0000-00000D000000}"/>
    <cellStyle name="Heading 1 1" xfId="9" xr:uid="{00000000-0005-0000-0000-00000E000000}"/>
    <cellStyle name="Heading 2 2" xfId="10" xr:uid="{00000000-0005-0000-0000-00000F000000}"/>
    <cellStyle name="Hyperlink 6" xfId="11" xr:uid="{00000000-0005-0000-0000-000010000000}"/>
    <cellStyle name="Neutral 9" xfId="12" xr:uid="{00000000-0005-0000-0000-000011000000}"/>
    <cellStyle name="Normal" xfId="0" builtinId="0"/>
    <cellStyle name="Note 4" xfId="13" xr:uid="{00000000-0005-0000-0000-000012000000}"/>
    <cellStyle name="Resultado2" xfId="14" xr:uid="{00000000-0005-0000-0000-000013000000}"/>
    <cellStyle name="Status 7" xfId="15" xr:uid="{00000000-0005-0000-0000-000014000000}"/>
    <cellStyle name="Text 3" xfId="16" xr:uid="{00000000-0005-0000-0000-000015000000}"/>
    <cellStyle name="Título1" xfId="17" xr:uid="{00000000-0005-0000-0000-000016000000}"/>
    <cellStyle name="Warning 11" xfId="18" xr:uid="{00000000-0005-0000-0000-00001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DEE7E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CC"/>
      <rgbColor rgb="FF6666FF"/>
      <rgbColor rgb="FF66FF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444444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48576"/>
  <sheetViews>
    <sheetView zoomScaleNormal="100" workbookViewId="0">
      <pane ySplit="1" topLeftCell="A362" activePane="bottomLeft" state="frozen"/>
      <selection pane="bottomLeft" activeCell="C450" sqref="C450"/>
    </sheetView>
  </sheetViews>
  <sheetFormatPr baseColWidth="10" defaultColWidth="10" defaultRowHeight="12.5" x14ac:dyDescent="0.25"/>
  <cols>
    <col min="1" max="1" width="10" style="1"/>
    <col min="2" max="2" width="12.453125" style="2" customWidth="1"/>
    <col min="3" max="3" width="8.453125" style="3" customWidth="1"/>
    <col min="4" max="4" width="37.453125" style="4" customWidth="1"/>
    <col min="5" max="5" width="61.453125" style="5" customWidth="1"/>
    <col min="6" max="6" width="86.54296875" style="6" customWidth="1"/>
    <col min="7" max="7" width="7.81640625" style="6" customWidth="1"/>
    <col min="8" max="8" width="7.54296875" style="6" customWidth="1"/>
    <col min="9" max="9" width="17.81640625" style="6" customWidth="1"/>
    <col min="10" max="64" width="11.54296875" style="6" customWidth="1"/>
  </cols>
  <sheetData>
    <row r="1" spans="1:64" ht="30.75" customHeight="1" x14ac:dyDescent="0.25">
      <c r="A1" s="7" t="s">
        <v>0</v>
      </c>
      <c r="B1" s="8" t="s">
        <v>1</v>
      </c>
      <c r="C1" s="9" t="s">
        <v>2</v>
      </c>
      <c r="D1" s="7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2"/>
      <c r="N1" s="11">
        <v>2</v>
      </c>
      <c r="O1" s="11">
        <v>0</v>
      </c>
      <c r="P1" s="11">
        <v>2</v>
      </c>
      <c r="Q1" s="11">
        <v>2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 spans="1:64" ht="41.25" customHeight="1" x14ac:dyDescent="0.25">
      <c r="A2" s="1">
        <v>1</v>
      </c>
      <c r="B2" s="14">
        <v>44573</v>
      </c>
      <c r="C2" s="15">
        <v>0.39583333333333298</v>
      </c>
      <c r="D2" s="16" t="s">
        <v>12</v>
      </c>
      <c r="E2" s="5" t="s">
        <v>13</v>
      </c>
      <c r="F2" s="6" t="s">
        <v>14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 spans="1:64" ht="22.5" customHeight="1" x14ac:dyDescent="0.25">
      <c r="A3" s="1">
        <v>2</v>
      </c>
      <c r="B3" s="2">
        <v>44573</v>
      </c>
      <c r="C3" s="3">
        <v>0.39930555555555602</v>
      </c>
      <c r="D3" s="17" t="s">
        <v>15</v>
      </c>
      <c r="E3" s="5" t="s">
        <v>16</v>
      </c>
      <c r="F3" s="6" t="s">
        <v>17</v>
      </c>
    </row>
    <row r="4" spans="1:64" ht="22.5" customHeight="1" x14ac:dyDescent="0.25">
      <c r="A4" s="1">
        <v>3</v>
      </c>
      <c r="B4" s="2">
        <v>44573</v>
      </c>
      <c r="C4" s="3">
        <v>0.40277777777777801</v>
      </c>
      <c r="D4" s="17" t="s">
        <v>18</v>
      </c>
      <c r="E4" s="5" t="s">
        <v>19</v>
      </c>
      <c r="F4" s="6" t="s">
        <v>20</v>
      </c>
    </row>
    <row r="5" spans="1:64" ht="22.5" customHeight="1" x14ac:dyDescent="0.25">
      <c r="A5" s="1">
        <v>4</v>
      </c>
      <c r="B5" s="2">
        <v>44573</v>
      </c>
      <c r="C5" s="3">
        <v>0.40625</v>
      </c>
      <c r="D5" s="17" t="s">
        <v>21</v>
      </c>
      <c r="E5" s="5" t="s">
        <v>22</v>
      </c>
      <c r="F5" s="6" t="s">
        <v>20</v>
      </c>
    </row>
    <row r="6" spans="1:64" ht="22.5" customHeight="1" x14ac:dyDescent="0.25">
      <c r="A6" s="1">
        <v>5</v>
      </c>
      <c r="B6" s="2">
        <v>44573</v>
      </c>
      <c r="C6" s="3">
        <v>0.40972222222222199</v>
      </c>
      <c r="D6" s="17" t="s">
        <v>23</v>
      </c>
      <c r="E6" s="5" t="s">
        <v>24</v>
      </c>
      <c r="F6" s="6" t="s">
        <v>25</v>
      </c>
    </row>
    <row r="7" spans="1:64" ht="22.5" customHeight="1" x14ac:dyDescent="0.25">
      <c r="A7" s="1">
        <v>6</v>
      </c>
      <c r="B7" s="2">
        <v>44573</v>
      </c>
      <c r="C7" s="3">
        <v>0.41319444444444398</v>
      </c>
      <c r="D7" s="17" t="s">
        <v>26</v>
      </c>
      <c r="E7" s="5" t="s">
        <v>27</v>
      </c>
      <c r="F7" s="6" t="s">
        <v>20</v>
      </c>
    </row>
    <row r="8" spans="1:64" ht="22.5" customHeight="1" x14ac:dyDescent="0.25">
      <c r="A8" s="1">
        <v>7</v>
      </c>
      <c r="B8" s="2">
        <v>44573</v>
      </c>
      <c r="C8" s="3">
        <v>0.41666666666666702</v>
      </c>
      <c r="D8" s="17" t="s">
        <v>28</v>
      </c>
      <c r="E8" s="5" t="s">
        <v>29</v>
      </c>
      <c r="F8" s="6" t="s">
        <v>30</v>
      </c>
    </row>
    <row r="9" spans="1:64" ht="22.5" customHeight="1" x14ac:dyDescent="0.25">
      <c r="A9" s="1">
        <v>8</v>
      </c>
      <c r="B9" s="2">
        <v>44573</v>
      </c>
      <c r="C9" s="3">
        <v>0.42013888888888901</v>
      </c>
      <c r="D9" s="4" t="s">
        <v>31</v>
      </c>
      <c r="E9" s="5" t="s">
        <v>32</v>
      </c>
      <c r="F9" s="6" t="s">
        <v>25</v>
      </c>
    </row>
    <row r="10" spans="1:64" ht="22.5" customHeight="1" x14ac:dyDescent="0.25">
      <c r="A10" s="1">
        <v>9</v>
      </c>
      <c r="B10" s="2">
        <v>44573</v>
      </c>
      <c r="C10" s="3">
        <v>0.42361111111111099</v>
      </c>
      <c r="D10" s="17" t="s">
        <v>33</v>
      </c>
      <c r="E10" s="5" t="s">
        <v>34</v>
      </c>
      <c r="F10" s="6" t="s">
        <v>25</v>
      </c>
      <c r="G10" s="18"/>
    </row>
    <row r="11" spans="1:64" ht="22.5" customHeight="1" x14ac:dyDescent="0.25">
      <c r="A11" s="1">
        <v>10</v>
      </c>
      <c r="B11" s="2">
        <v>44573</v>
      </c>
      <c r="C11" s="3">
        <v>0.42708333333333298</v>
      </c>
      <c r="D11" s="19" t="s">
        <v>35</v>
      </c>
      <c r="E11" s="20" t="s">
        <v>36</v>
      </c>
      <c r="F11" s="6" t="s">
        <v>20</v>
      </c>
    </row>
    <row r="12" spans="1:64" ht="22.5" customHeight="1" x14ac:dyDescent="0.25">
      <c r="A12" s="1">
        <v>11</v>
      </c>
      <c r="B12" s="2">
        <v>44573</v>
      </c>
      <c r="C12" s="3">
        <v>0.43055555555555602</v>
      </c>
      <c r="D12" s="19" t="s">
        <v>37</v>
      </c>
      <c r="E12" s="20" t="s">
        <v>38</v>
      </c>
      <c r="F12" s="6" t="s">
        <v>39</v>
      </c>
    </row>
    <row r="13" spans="1:64" ht="22.5" customHeight="1" x14ac:dyDescent="0.25">
      <c r="A13" s="1">
        <v>12</v>
      </c>
      <c r="B13" s="2">
        <v>44573</v>
      </c>
      <c r="C13" s="3">
        <v>0.43402777777777801</v>
      </c>
      <c r="D13" s="17" t="s">
        <v>40</v>
      </c>
      <c r="E13" s="5" t="s">
        <v>41</v>
      </c>
      <c r="F13" s="6" t="s">
        <v>42</v>
      </c>
    </row>
    <row r="14" spans="1:64" ht="22.5" customHeight="1" x14ac:dyDescent="0.25">
      <c r="A14" s="1">
        <v>13</v>
      </c>
      <c r="B14" s="2">
        <v>44573</v>
      </c>
      <c r="C14" s="3">
        <v>0.4375</v>
      </c>
      <c r="D14" s="17" t="s">
        <v>43</v>
      </c>
      <c r="E14" s="5" t="s">
        <v>44</v>
      </c>
      <c r="F14" s="6" t="s">
        <v>20</v>
      </c>
    </row>
    <row r="15" spans="1:64" ht="22.5" customHeight="1" x14ac:dyDescent="0.25">
      <c r="A15" s="1">
        <v>14</v>
      </c>
      <c r="B15" s="2">
        <v>44573</v>
      </c>
      <c r="C15" s="3">
        <v>0.44097222222222199</v>
      </c>
      <c r="D15" s="17" t="s">
        <v>45</v>
      </c>
      <c r="E15" s="5" t="s">
        <v>46</v>
      </c>
      <c r="F15" s="6" t="s">
        <v>47</v>
      </c>
    </row>
    <row r="16" spans="1:64" ht="22.5" customHeight="1" x14ac:dyDescent="0.25">
      <c r="A16" s="1">
        <v>15</v>
      </c>
      <c r="B16" s="2">
        <v>44573</v>
      </c>
      <c r="C16" s="3">
        <v>0.44444444444444398</v>
      </c>
      <c r="D16" s="17" t="s">
        <v>48</v>
      </c>
      <c r="E16" s="5" t="s">
        <v>38</v>
      </c>
      <c r="F16" s="6" t="s">
        <v>20</v>
      </c>
    </row>
    <row r="17" spans="1:7" ht="22.5" customHeight="1" x14ac:dyDescent="0.25">
      <c r="A17" s="1">
        <v>16</v>
      </c>
      <c r="B17" s="2">
        <v>44573</v>
      </c>
      <c r="C17" s="3">
        <v>0.44791666666666702</v>
      </c>
      <c r="D17" s="17" t="s">
        <v>49</v>
      </c>
      <c r="E17" s="5" t="s">
        <v>41</v>
      </c>
      <c r="F17" s="6" t="s">
        <v>25</v>
      </c>
    </row>
    <row r="18" spans="1:7" ht="22.5" customHeight="1" x14ac:dyDescent="0.25">
      <c r="A18" s="1">
        <v>17</v>
      </c>
      <c r="B18" s="2">
        <v>44573</v>
      </c>
      <c r="C18" s="3">
        <v>0.45138888888888901</v>
      </c>
      <c r="D18" s="17" t="s">
        <v>48</v>
      </c>
      <c r="E18" s="5" t="s">
        <v>38</v>
      </c>
      <c r="F18" s="6" t="s">
        <v>50</v>
      </c>
    </row>
    <row r="19" spans="1:7" ht="22.5" customHeight="1" x14ac:dyDescent="0.25">
      <c r="A19" s="1">
        <v>18</v>
      </c>
      <c r="B19" s="2">
        <v>44573</v>
      </c>
      <c r="C19" s="3">
        <v>0.45486111111111099</v>
      </c>
      <c r="D19" s="17" t="s">
        <v>51</v>
      </c>
      <c r="E19" s="5" t="s">
        <v>38</v>
      </c>
      <c r="F19" s="6" t="s">
        <v>50</v>
      </c>
    </row>
    <row r="20" spans="1:7" ht="22.5" customHeight="1" x14ac:dyDescent="0.25">
      <c r="A20" s="1">
        <v>19</v>
      </c>
      <c r="B20" s="2">
        <v>44573</v>
      </c>
      <c r="C20" s="3">
        <v>0.45833333333333298</v>
      </c>
      <c r="D20" s="17" t="s">
        <v>52</v>
      </c>
      <c r="E20" s="5" t="s">
        <v>38</v>
      </c>
      <c r="F20" s="6" t="s">
        <v>50</v>
      </c>
    </row>
    <row r="21" spans="1:7" ht="22.5" customHeight="1" x14ac:dyDescent="0.25">
      <c r="A21" s="1">
        <v>20</v>
      </c>
      <c r="B21" s="2">
        <v>44580</v>
      </c>
      <c r="C21" s="3">
        <v>0.39583333333333298</v>
      </c>
      <c r="D21" s="17" t="s">
        <v>53</v>
      </c>
      <c r="E21" s="5" t="s">
        <v>54</v>
      </c>
      <c r="F21" s="6" t="s">
        <v>55</v>
      </c>
    </row>
    <row r="22" spans="1:7" ht="22.5" customHeight="1" x14ac:dyDescent="0.25">
      <c r="A22" s="1">
        <v>21</v>
      </c>
      <c r="B22" s="2">
        <v>44580</v>
      </c>
      <c r="C22" s="3">
        <v>0.39930555555555602</v>
      </c>
      <c r="D22" s="17" t="s">
        <v>56</v>
      </c>
      <c r="E22" s="5" t="s">
        <v>57</v>
      </c>
      <c r="F22" s="6" t="s">
        <v>58</v>
      </c>
      <c r="G22" s="6" t="s">
        <v>59</v>
      </c>
    </row>
    <row r="23" spans="1:7" ht="22.5" customHeight="1" x14ac:dyDescent="0.25">
      <c r="A23" s="1">
        <v>22</v>
      </c>
      <c r="B23" s="2">
        <v>44580</v>
      </c>
      <c r="C23" s="3">
        <v>0.40277777777777801</v>
      </c>
      <c r="D23" s="17" t="s">
        <v>60</v>
      </c>
      <c r="E23" s="5" t="s">
        <v>57</v>
      </c>
      <c r="F23" s="6" t="s">
        <v>58</v>
      </c>
    </row>
    <row r="24" spans="1:7" ht="22.5" customHeight="1" x14ac:dyDescent="0.25">
      <c r="A24" s="1">
        <v>23</v>
      </c>
      <c r="B24" s="2">
        <v>44580</v>
      </c>
      <c r="C24" s="3">
        <v>0.40625</v>
      </c>
      <c r="D24" s="17" t="s">
        <v>61</v>
      </c>
      <c r="E24" s="5" t="s">
        <v>57</v>
      </c>
      <c r="F24" s="6" t="s">
        <v>58</v>
      </c>
    </row>
    <row r="25" spans="1:7" ht="22.5" customHeight="1" x14ac:dyDescent="0.25">
      <c r="A25" s="1">
        <v>24</v>
      </c>
      <c r="B25" s="2">
        <v>44580</v>
      </c>
      <c r="C25" s="3">
        <v>0.40972222222222199</v>
      </c>
      <c r="D25" s="17" t="s">
        <v>62</v>
      </c>
      <c r="E25" s="5" t="s">
        <v>41</v>
      </c>
      <c r="F25" s="6" t="s">
        <v>63</v>
      </c>
    </row>
    <row r="26" spans="1:7" ht="22.5" customHeight="1" x14ac:dyDescent="0.25">
      <c r="A26" s="1">
        <v>25</v>
      </c>
      <c r="B26" s="2">
        <v>44580</v>
      </c>
      <c r="C26" s="3">
        <v>0.41319444444444398</v>
      </c>
      <c r="D26" s="17" t="s">
        <v>64</v>
      </c>
      <c r="E26" s="5" t="s">
        <v>65</v>
      </c>
      <c r="F26" s="6" t="s">
        <v>66</v>
      </c>
    </row>
    <row r="27" spans="1:7" ht="22.5" customHeight="1" x14ac:dyDescent="0.25">
      <c r="A27" s="1">
        <v>26</v>
      </c>
      <c r="B27" s="2">
        <v>44580</v>
      </c>
      <c r="C27" s="3">
        <v>0.41666666666666702</v>
      </c>
      <c r="D27" s="17" t="s">
        <v>64</v>
      </c>
      <c r="E27" s="5" t="s">
        <v>65</v>
      </c>
      <c r="F27" s="6" t="s">
        <v>67</v>
      </c>
    </row>
    <row r="28" spans="1:7" ht="22.5" customHeight="1" x14ac:dyDescent="0.25">
      <c r="A28" s="1">
        <v>27</v>
      </c>
      <c r="B28" s="2">
        <v>44580</v>
      </c>
      <c r="C28" s="3">
        <v>0.42013888888888901</v>
      </c>
      <c r="D28" s="17" t="s">
        <v>68</v>
      </c>
      <c r="E28" s="5" t="s">
        <v>38</v>
      </c>
      <c r="F28" s="6" t="s">
        <v>63</v>
      </c>
    </row>
    <row r="29" spans="1:7" ht="22.5" customHeight="1" x14ac:dyDescent="0.25">
      <c r="A29" s="1">
        <v>28</v>
      </c>
      <c r="B29" s="2">
        <v>44587</v>
      </c>
      <c r="C29" s="3">
        <v>0.39583333333333298</v>
      </c>
      <c r="D29" s="17" t="s">
        <v>69</v>
      </c>
      <c r="E29" s="5" t="s">
        <v>70</v>
      </c>
      <c r="F29" s="6" t="s">
        <v>71</v>
      </c>
    </row>
    <row r="30" spans="1:7" ht="22.5" customHeight="1" x14ac:dyDescent="0.25">
      <c r="A30" s="1">
        <v>29</v>
      </c>
      <c r="B30" s="2">
        <v>44587</v>
      </c>
      <c r="C30" s="3">
        <v>0.39930555555555602</v>
      </c>
      <c r="D30" s="17" t="s">
        <v>72</v>
      </c>
      <c r="E30" s="5" t="s">
        <v>73</v>
      </c>
      <c r="F30" s="6" t="s">
        <v>42</v>
      </c>
    </row>
    <row r="31" spans="1:7" ht="22.5" customHeight="1" x14ac:dyDescent="0.25">
      <c r="A31" s="1">
        <v>30</v>
      </c>
      <c r="B31" s="2">
        <v>44587</v>
      </c>
      <c r="C31" s="3">
        <v>0.40277777777777801</v>
      </c>
      <c r="D31" s="17" t="s">
        <v>74</v>
      </c>
      <c r="E31" s="5" t="s">
        <v>73</v>
      </c>
      <c r="F31" s="6" t="s">
        <v>42</v>
      </c>
    </row>
    <row r="32" spans="1:7" ht="22.5" customHeight="1" x14ac:dyDescent="0.25">
      <c r="A32" s="1">
        <v>31</v>
      </c>
      <c r="B32" s="2">
        <v>44587</v>
      </c>
      <c r="C32" s="3">
        <v>0.40625</v>
      </c>
      <c r="D32" s="17" t="s">
        <v>75</v>
      </c>
      <c r="E32" s="5" t="s">
        <v>73</v>
      </c>
      <c r="F32" s="6" t="s">
        <v>42</v>
      </c>
    </row>
    <row r="33" spans="1:6" ht="22.5" customHeight="1" x14ac:dyDescent="0.25">
      <c r="A33" s="1">
        <v>32</v>
      </c>
      <c r="B33" s="2">
        <v>44587</v>
      </c>
      <c r="C33" s="3">
        <v>0.40972222222222199</v>
      </c>
      <c r="D33" s="17" t="s">
        <v>76</v>
      </c>
      <c r="E33" s="5" t="s">
        <v>73</v>
      </c>
      <c r="F33" s="6" t="s">
        <v>42</v>
      </c>
    </row>
    <row r="34" spans="1:6" ht="22.5" customHeight="1" x14ac:dyDescent="0.25">
      <c r="A34" s="1">
        <v>33</v>
      </c>
      <c r="B34" s="2">
        <v>44587</v>
      </c>
      <c r="C34" s="3">
        <v>0.41319444444444398</v>
      </c>
      <c r="D34" s="4" t="s">
        <v>77</v>
      </c>
      <c r="E34" s="5" t="s">
        <v>73</v>
      </c>
      <c r="F34" s="6" t="s">
        <v>42</v>
      </c>
    </row>
    <row r="35" spans="1:6" ht="22.5" customHeight="1" x14ac:dyDescent="0.25">
      <c r="A35" s="1">
        <v>34</v>
      </c>
      <c r="B35" s="2">
        <v>44587</v>
      </c>
      <c r="C35" s="3">
        <v>0.41666666666666702</v>
      </c>
      <c r="D35" s="17" t="s">
        <v>78</v>
      </c>
      <c r="E35" s="5" t="s">
        <v>22</v>
      </c>
      <c r="F35" s="6" t="s">
        <v>79</v>
      </c>
    </row>
    <row r="36" spans="1:6" ht="22.5" customHeight="1" x14ac:dyDescent="0.25">
      <c r="A36" s="1">
        <v>35</v>
      </c>
      <c r="B36" s="2">
        <v>44587</v>
      </c>
      <c r="C36" s="3">
        <v>0.42013888888888901</v>
      </c>
      <c r="D36" s="17" t="s">
        <v>80</v>
      </c>
      <c r="E36" s="5" t="s">
        <v>73</v>
      </c>
      <c r="F36" s="6" t="s">
        <v>42</v>
      </c>
    </row>
    <row r="37" spans="1:6" ht="22.5" customHeight="1" x14ac:dyDescent="0.25">
      <c r="A37" s="1">
        <v>36</v>
      </c>
      <c r="B37" s="2">
        <v>44587</v>
      </c>
      <c r="C37" s="3">
        <v>0.42361111111111099</v>
      </c>
      <c r="D37" s="17" t="s">
        <v>81</v>
      </c>
      <c r="E37" s="5" t="s">
        <v>73</v>
      </c>
      <c r="F37" s="6" t="s">
        <v>42</v>
      </c>
    </row>
    <row r="38" spans="1:6" ht="22.5" customHeight="1" x14ac:dyDescent="0.25">
      <c r="A38" s="1">
        <v>37</v>
      </c>
      <c r="B38" s="2">
        <v>44587</v>
      </c>
      <c r="C38" s="3">
        <v>0.42708333333333298</v>
      </c>
      <c r="D38" s="17" t="s">
        <v>72</v>
      </c>
      <c r="E38" s="5" t="s">
        <v>73</v>
      </c>
      <c r="F38" s="6" t="s">
        <v>30</v>
      </c>
    </row>
    <row r="39" spans="1:6" ht="22.5" customHeight="1" x14ac:dyDescent="0.25">
      <c r="A39" s="1">
        <v>38</v>
      </c>
      <c r="B39" s="2">
        <v>44587</v>
      </c>
      <c r="C39" s="3">
        <v>0.43055555555555602</v>
      </c>
      <c r="D39" s="17" t="s">
        <v>82</v>
      </c>
      <c r="E39" s="5" t="s">
        <v>73</v>
      </c>
      <c r="F39" s="6" t="s">
        <v>42</v>
      </c>
    </row>
    <row r="40" spans="1:6" ht="22.5" customHeight="1" x14ac:dyDescent="0.25">
      <c r="A40" s="1">
        <v>39</v>
      </c>
      <c r="B40" s="2">
        <v>44587</v>
      </c>
      <c r="C40" s="3">
        <v>0.43402777777777801</v>
      </c>
      <c r="D40" s="17" t="s">
        <v>83</v>
      </c>
      <c r="E40" s="5" t="s">
        <v>84</v>
      </c>
      <c r="F40" s="6" t="s">
        <v>20</v>
      </c>
    </row>
    <row r="41" spans="1:6" ht="22.5" customHeight="1" x14ac:dyDescent="0.25">
      <c r="A41" s="1">
        <v>40</v>
      </c>
      <c r="B41" s="2">
        <v>44587</v>
      </c>
      <c r="C41" s="3">
        <v>0.4375</v>
      </c>
      <c r="D41" s="17" t="s">
        <v>76</v>
      </c>
      <c r="E41" s="5" t="s">
        <v>73</v>
      </c>
      <c r="F41" s="6" t="s">
        <v>20</v>
      </c>
    </row>
    <row r="42" spans="1:6" ht="22.5" customHeight="1" x14ac:dyDescent="0.25">
      <c r="A42" s="1">
        <v>41</v>
      </c>
      <c r="B42" s="2">
        <v>44587</v>
      </c>
      <c r="C42" s="3">
        <v>0.44097222222222199</v>
      </c>
      <c r="D42" s="17" t="s">
        <v>81</v>
      </c>
      <c r="E42" s="5" t="s">
        <v>73</v>
      </c>
      <c r="F42" s="6" t="s">
        <v>30</v>
      </c>
    </row>
    <row r="43" spans="1:6" ht="22.5" customHeight="1" x14ac:dyDescent="0.25">
      <c r="A43" s="1">
        <v>42</v>
      </c>
      <c r="B43" s="2">
        <v>44587</v>
      </c>
      <c r="C43" s="3">
        <v>0.44444444444444398</v>
      </c>
      <c r="D43" s="4" t="s">
        <v>77</v>
      </c>
      <c r="E43" s="5" t="s">
        <v>73</v>
      </c>
      <c r="F43" s="6" t="s">
        <v>30</v>
      </c>
    </row>
    <row r="44" spans="1:6" ht="22.5" customHeight="1" x14ac:dyDescent="0.25">
      <c r="A44" s="1">
        <v>43</v>
      </c>
      <c r="B44" s="2">
        <v>44587</v>
      </c>
      <c r="C44" s="3">
        <v>0.44791666666666702</v>
      </c>
      <c r="D44" s="17" t="s">
        <v>80</v>
      </c>
      <c r="E44" s="5" t="s">
        <v>73</v>
      </c>
      <c r="F44" s="6" t="s">
        <v>30</v>
      </c>
    </row>
    <row r="45" spans="1:6" ht="22.5" customHeight="1" x14ac:dyDescent="0.25">
      <c r="A45" s="1">
        <v>44</v>
      </c>
      <c r="B45" s="2">
        <v>44587</v>
      </c>
      <c r="C45" s="3">
        <v>0.45138888888888901</v>
      </c>
      <c r="D45" s="17" t="s">
        <v>85</v>
      </c>
      <c r="E45" s="5" t="s">
        <v>73</v>
      </c>
      <c r="F45" s="6" t="s">
        <v>30</v>
      </c>
    </row>
    <row r="46" spans="1:6" ht="22.5" customHeight="1" x14ac:dyDescent="0.25">
      <c r="A46" s="1">
        <v>45</v>
      </c>
      <c r="B46" s="2">
        <v>44587</v>
      </c>
      <c r="C46" s="3">
        <v>0.45486111111111099</v>
      </c>
      <c r="D46" s="17" t="s">
        <v>82</v>
      </c>
      <c r="E46" s="5" t="s">
        <v>73</v>
      </c>
      <c r="F46" s="6" t="s">
        <v>30</v>
      </c>
    </row>
    <row r="47" spans="1:6" ht="22.5" customHeight="1" x14ac:dyDescent="0.25">
      <c r="A47" s="1">
        <v>46</v>
      </c>
      <c r="B47" s="2">
        <v>44587</v>
      </c>
      <c r="C47" s="3">
        <v>0.45833333333333298</v>
      </c>
      <c r="D47" s="17" t="s">
        <v>75</v>
      </c>
      <c r="E47" s="5" t="s">
        <v>73</v>
      </c>
      <c r="F47" s="6" t="s">
        <v>30</v>
      </c>
    </row>
    <row r="48" spans="1:6" ht="22.5" customHeight="1" x14ac:dyDescent="0.25">
      <c r="A48" s="1">
        <v>47</v>
      </c>
      <c r="B48" s="2">
        <v>44587</v>
      </c>
      <c r="C48" s="3">
        <v>0.46180555555555602</v>
      </c>
      <c r="D48" s="17" t="s">
        <v>86</v>
      </c>
      <c r="E48" s="5" t="s">
        <v>73</v>
      </c>
      <c r="F48" s="6" t="s">
        <v>30</v>
      </c>
    </row>
    <row r="49" spans="1:6" ht="22.5" customHeight="1" x14ac:dyDescent="0.25">
      <c r="A49" s="1">
        <v>48</v>
      </c>
      <c r="B49" s="2">
        <v>44587</v>
      </c>
      <c r="C49" s="3">
        <v>0.46527777777777801</v>
      </c>
      <c r="D49" s="17" t="s">
        <v>85</v>
      </c>
      <c r="E49" s="5" t="s">
        <v>73</v>
      </c>
      <c r="F49" s="6" t="s">
        <v>42</v>
      </c>
    </row>
    <row r="50" spans="1:6" ht="22.5" customHeight="1" x14ac:dyDescent="0.25">
      <c r="A50" s="1">
        <v>49</v>
      </c>
      <c r="B50" s="2">
        <v>44594</v>
      </c>
      <c r="C50" s="3">
        <v>0.39583333333333298</v>
      </c>
      <c r="D50" s="17" t="s">
        <v>87</v>
      </c>
      <c r="E50" s="5" t="s">
        <v>38</v>
      </c>
      <c r="F50" s="6" t="s">
        <v>88</v>
      </c>
    </row>
    <row r="51" spans="1:6" ht="22.5" customHeight="1" x14ac:dyDescent="0.25">
      <c r="A51" s="1">
        <v>50</v>
      </c>
      <c r="B51" s="2">
        <v>44594</v>
      </c>
      <c r="C51" s="3">
        <v>0.39930555555555602</v>
      </c>
      <c r="D51" s="17" t="s">
        <v>89</v>
      </c>
      <c r="E51" s="5" t="s">
        <v>38</v>
      </c>
      <c r="F51" s="6" t="s">
        <v>90</v>
      </c>
    </row>
    <row r="52" spans="1:6" ht="22.5" customHeight="1" x14ac:dyDescent="0.25">
      <c r="A52" s="1">
        <v>51</v>
      </c>
      <c r="B52" s="2">
        <v>44594</v>
      </c>
      <c r="C52" s="3">
        <v>0.40277777777777801</v>
      </c>
      <c r="D52" s="17" t="s">
        <v>91</v>
      </c>
      <c r="E52" s="5" t="s">
        <v>92</v>
      </c>
      <c r="F52" s="6" t="s">
        <v>30</v>
      </c>
    </row>
    <row r="53" spans="1:6" ht="22.5" customHeight="1" x14ac:dyDescent="0.25">
      <c r="A53" s="1">
        <v>52</v>
      </c>
      <c r="B53" s="2">
        <v>44580</v>
      </c>
      <c r="C53" s="3">
        <v>0.42361111111111099</v>
      </c>
      <c r="D53" s="17" t="s">
        <v>93</v>
      </c>
      <c r="E53" s="5" t="s">
        <v>94</v>
      </c>
      <c r="F53" s="6" t="s">
        <v>90</v>
      </c>
    </row>
    <row r="54" spans="1:6" ht="22.5" customHeight="1" x14ac:dyDescent="0.25">
      <c r="A54" s="1">
        <v>53</v>
      </c>
      <c r="B54" s="2">
        <v>44594</v>
      </c>
      <c r="C54" s="3">
        <v>0.40972222222222199</v>
      </c>
      <c r="D54" s="17" t="s">
        <v>95</v>
      </c>
      <c r="E54" s="5" t="s">
        <v>96</v>
      </c>
      <c r="F54" s="6" t="s">
        <v>30</v>
      </c>
    </row>
    <row r="55" spans="1:6" ht="22.5" customHeight="1" x14ac:dyDescent="0.25">
      <c r="A55" s="21">
        <v>54</v>
      </c>
      <c r="B55" s="2">
        <v>44594</v>
      </c>
      <c r="C55" s="3">
        <v>0.41319444444444398</v>
      </c>
      <c r="D55" s="17" t="s">
        <v>89</v>
      </c>
      <c r="E55" s="5" t="s">
        <v>65</v>
      </c>
      <c r="F55" s="6" t="s">
        <v>30</v>
      </c>
    </row>
    <row r="56" spans="1:6" ht="22.5" customHeight="1" x14ac:dyDescent="0.25">
      <c r="A56" s="1">
        <v>55</v>
      </c>
      <c r="B56" s="2">
        <v>44594</v>
      </c>
      <c r="C56" s="3">
        <v>0.41666666666666702</v>
      </c>
      <c r="D56" s="17" t="s">
        <v>97</v>
      </c>
      <c r="E56" s="5" t="s">
        <v>98</v>
      </c>
      <c r="F56" s="6" t="s">
        <v>90</v>
      </c>
    </row>
    <row r="57" spans="1:6" ht="22.5" customHeight="1" x14ac:dyDescent="0.25">
      <c r="A57" s="1">
        <v>56</v>
      </c>
      <c r="B57" s="2">
        <v>44594</v>
      </c>
      <c r="C57" s="3">
        <v>0.42013888888888901</v>
      </c>
      <c r="D57" s="17" t="s">
        <v>12</v>
      </c>
      <c r="E57" s="5" t="s">
        <v>13</v>
      </c>
      <c r="F57" s="6" t="s">
        <v>71</v>
      </c>
    </row>
    <row r="58" spans="1:6" ht="22.5" customHeight="1" x14ac:dyDescent="0.25">
      <c r="A58" s="1">
        <v>57</v>
      </c>
      <c r="B58" s="2">
        <v>44594</v>
      </c>
      <c r="C58" s="3">
        <v>0.42361111111111099</v>
      </c>
      <c r="D58" s="17" t="s">
        <v>99</v>
      </c>
      <c r="E58" s="5" t="s">
        <v>100</v>
      </c>
      <c r="F58" s="6" t="s">
        <v>25</v>
      </c>
    </row>
    <row r="59" spans="1:6" ht="22.5" customHeight="1" x14ac:dyDescent="0.25">
      <c r="A59" s="1">
        <v>58</v>
      </c>
      <c r="B59" s="2">
        <v>44594</v>
      </c>
      <c r="C59" s="3">
        <v>0.42708333333333298</v>
      </c>
      <c r="D59" s="17" t="s">
        <v>101</v>
      </c>
      <c r="E59" s="5" t="s">
        <v>102</v>
      </c>
      <c r="F59" s="6" t="s">
        <v>30</v>
      </c>
    </row>
    <row r="60" spans="1:6" ht="22.5" customHeight="1" x14ac:dyDescent="0.25">
      <c r="A60" s="1">
        <v>59</v>
      </c>
      <c r="B60" s="2">
        <v>44594</v>
      </c>
      <c r="C60" s="3">
        <v>0.43055555555555602</v>
      </c>
      <c r="D60" s="19" t="s">
        <v>103</v>
      </c>
      <c r="E60" s="5" t="s">
        <v>36</v>
      </c>
      <c r="F60" s="6" t="s">
        <v>20</v>
      </c>
    </row>
    <row r="61" spans="1:6" ht="22.5" customHeight="1" x14ac:dyDescent="0.25">
      <c r="A61" s="1">
        <v>60</v>
      </c>
      <c r="B61" s="2">
        <v>44594</v>
      </c>
      <c r="C61" s="3">
        <v>0.43402777777777801</v>
      </c>
      <c r="D61" s="17" t="s">
        <v>104</v>
      </c>
      <c r="E61" s="5" t="s">
        <v>105</v>
      </c>
      <c r="F61" s="6" t="s">
        <v>20</v>
      </c>
    </row>
    <row r="62" spans="1:6" ht="22.5" customHeight="1" x14ac:dyDescent="0.25">
      <c r="A62" s="1">
        <v>61</v>
      </c>
      <c r="B62" s="2">
        <v>44601</v>
      </c>
      <c r="C62" s="3">
        <v>0.39583333333333298</v>
      </c>
      <c r="D62" s="17" t="s">
        <v>106</v>
      </c>
      <c r="E62" s="5" t="s">
        <v>107</v>
      </c>
      <c r="F62" s="6" t="s">
        <v>30</v>
      </c>
    </row>
    <row r="63" spans="1:6" ht="22.5" customHeight="1" x14ac:dyDescent="0.25">
      <c r="A63" s="1">
        <v>62</v>
      </c>
      <c r="B63" s="2">
        <v>44594</v>
      </c>
      <c r="C63" s="3">
        <v>0.4375</v>
      </c>
      <c r="D63" s="17" t="s">
        <v>108</v>
      </c>
      <c r="E63" s="5" t="s">
        <v>102</v>
      </c>
      <c r="F63" s="6" t="s">
        <v>30</v>
      </c>
    </row>
    <row r="64" spans="1:6" ht="22.5" customHeight="1" x14ac:dyDescent="0.25">
      <c r="A64" s="1">
        <v>63</v>
      </c>
      <c r="B64" s="2">
        <v>44594</v>
      </c>
      <c r="C64" s="3">
        <v>0.44097222222222199</v>
      </c>
      <c r="D64" s="17" t="s">
        <v>109</v>
      </c>
      <c r="E64" s="5" t="s">
        <v>38</v>
      </c>
      <c r="F64" s="6" t="s">
        <v>30</v>
      </c>
    </row>
    <row r="65" spans="1:6" ht="22.5" customHeight="1" x14ac:dyDescent="0.25">
      <c r="A65" s="1">
        <v>64</v>
      </c>
      <c r="B65" s="2">
        <v>44594</v>
      </c>
      <c r="C65" s="3">
        <v>0.44444444444444398</v>
      </c>
      <c r="D65" s="17" t="s">
        <v>110</v>
      </c>
      <c r="E65" s="5" t="s">
        <v>38</v>
      </c>
      <c r="F65" s="6" t="s">
        <v>30</v>
      </c>
    </row>
    <row r="66" spans="1:6" ht="22.5" customHeight="1" x14ac:dyDescent="0.25">
      <c r="A66" s="1">
        <v>65</v>
      </c>
      <c r="B66" s="2">
        <v>44594</v>
      </c>
      <c r="C66" s="3">
        <v>0.44791666666666702</v>
      </c>
      <c r="D66" s="17" t="s">
        <v>111</v>
      </c>
      <c r="E66" s="5" t="s">
        <v>38</v>
      </c>
      <c r="F66" s="6" t="s">
        <v>30</v>
      </c>
    </row>
    <row r="67" spans="1:6" ht="22.5" customHeight="1" x14ac:dyDescent="0.25">
      <c r="A67" s="1">
        <v>66</v>
      </c>
      <c r="B67" s="2">
        <v>44594</v>
      </c>
      <c r="C67" s="3">
        <v>0.45138888888888901</v>
      </c>
      <c r="D67" s="17" t="s">
        <v>112</v>
      </c>
      <c r="E67" s="5" t="s">
        <v>38</v>
      </c>
      <c r="F67" s="6" t="s">
        <v>30</v>
      </c>
    </row>
    <row r="68" spans="1:6" ht="22.5" customHeight="1" x14ac:dyDescent="0.25">
      <c r="A68" s="1">
        <v>67</v>
      </c>
      <c r="B68" s="2">
        <v>44594</v>
      </c>
      <c r="C68" s="3">
        <v>0.45486111111111099</v>
      </c>
      <c r="D68" s="19" t="s">
        <v>113</v>
      </c>
      <c r="E68" s="5" t="s">
        <v>38</v>
      </c>
      <c r="F68" s="6" t="s">
        <v>30</v>
      </c>
    </row>
    <row r="69" spans="1:6" ht="22.5" customHeight="1" x14ac:dyDescent="0.25">
      <c r="A69" s="1">
        <v>68</v>
      </c>
      <c r="B69" s="2">
        <v>44594</v>
      </c>
      <c r="C69" s="3">
        <v>0.45833333333333298</v>
      </c>
      <c r="D69" s="17" t="s">
        <v>51</v>
      </c>
      <c r="E69" s="5" t="s">
        <v>38</v>
      </c>
      <c r="F69" s="6" t="s">
        <v>20</v>
      </c>
    </row>
    <row r="70" spans="1:6" ht="22.5" customHeight="1" x14ac:dyDescent="0.25">
      <c r="A70" s="1">
        <v>69</v>
      </c>
      <c r="B70" s="2">
        <v>44601</v>
      </c>
      <c r="C70" s="3">
        <v>0.39930555555555602</v>
      </c>
      <c r="D70" s="17" t="s">
        <v>114</v>
      </c>
      <c r="E70" s="5" t="s">
        <v>115</v>
      </c>
      <c r="F70" s="6" t="s">
        <v>30</v>
      </c>
    </row>
    <row r="71" spans="1:6" ht="22.5" customHeight="1" x14ac:dyDescent="0.25">
      <c r="A71" s="1" t="s">
        <v>116</v>
      </c>
      <c r="B71" s="2">
        <v>44601</v>
      </c>
      <c r="C71" s="3">
        <v>0.39930555555555602</v>
      </c>
      <c r="D71" s="17" t="s">
        <v>114</v>
      </c>
      <c r="E71" s="5" t="s">
        <v>115</v>
      </c>
      <c r="F71" s="6" t="s">
        <v>42</v>
      </c>
    </row>
    <row r="72" spans="1:6" ht="22.5" customHeight="1" x14ac:dyDescent="0.25">
      <c r="A72" s="1">
        <v>70</v>
      </c>
      <c r="B72" s="2">
        <v>44601</v>
      </c>
      <c r="C72" s="3">
        <v>0.40277777777777801</v>
      </c>
      <c r="D72" s="4" t="s">
        <v>117</v>
      </c>
      <c r="E72" s="22" t="s">
        <v>118</v>
      </c>
      <c r="F72" s="6" t="s">
        <v>90</v>
      </c>
    </row>
    <row r="73" spans="1:6" ht="22.5" customHeight="1" x14ac:dyDescent="0.25">
      <c r="A73" s="1">
        <v>71</v>
      </c>
      <c r="B73" s="2">
        <v>44601</v>
      </c>
      <c r="C73" s="3">
        <v>0.40625</v>
      </c>
      <c r="D73" s="17" t="s">
        <v>119</v>
      </c>
      <c r="E73" s="5" t="s">
        <v>118</v>
      </c>
      <c r="F73" s="6" t="s">
        <v>90</v>
      </c>
    </row>
    <row r="74" spans="1:6" ht="22.5" customHeight="1" x14ac:dyDescent="0.25">
      <c r="A74" s="1">
        <v>72</v>
      </c>
      <c r="B74" s="2">
        <v>44601</v>
      </c>
      <c r="C74" s="3">
        <v>0.40972222222222199</v>
      </c>
      <c r="D74" s="17" t="s">
        <v>120</v>
      </c>
      <c r="E74" s="5" t="s">
        <v>118</v>
      </c>
      <c r="F74" s="6" t="s">
        <v>90</v>
      </c>
    </row>
    <row r="75" spans="1:6" ht="22.5" customHeight="1" x14ac:dyDescent="0.25">
      <c r="A75" s="1">
        <v>73</v>
      </c>
      <c r="B75" s="2">
        <v>44601</v>
      </c>
      <c r="C75" s="3">
        <v>0.41319444444444398</v>
      </c>
      <c r="D75" s="17" t="s">
        <v>121</v>
      </c>
      <c r="E75" s="5" t="s">
        <v>102</v>
      </c>
      <c r="F75" s="6" t="s">
        <v>30</v>
      </c>
    </row>
    <row r="76" spans="1:6" ht="22.5" customHeight="1" x14ac:dyDescent="0.25">
      <c r="A76" s="1">
        <v>74</v>
      </c>
      <c r="B76" s="2">
        <v>44601</v>
      </c>
      <c r="C76" s="3">
        <v>0.41666666666666702</v>
      </c>
      <c r="D76" s="17" t="s">
        <v>122</v>
      </c>
      <c r="E76" s="5" t="s">
        <v>15</v>
      </c>
      <c r="F76" s="6" t="s">
        <v>30</v>
      </c>
    </row>
    <row r="77" spans="1:6" ht="22.5" customHeight="1" x14ac:dyDescent="0.25">
      <c r="A77" s="1">
        <v>75</v>
      </c>
      <c r="B77" s="2">
        <v>44601</v>
      </c>
      <c r="C77" s="3">
        <v>0.42013888888888901</v>
      </c>
      <c r="D77" s="17" t="s">
        <v>123</v>
      </c>
      <c r="E77" s="5" t="s">
        <v>38</v>
      </c>
      <c r="F77" s="6" t="s">
        <v>30</v>
      </c>
    </row>
    <row r="78" spans="1:6" ht="22.5" customHeight="1" x14ac:dyDescent="0.25">
      <c r="A78" s="1">
        <v>76</v>
      </c>
      <c r="B78" s="2">
        <v>44601</v>
      </c>
      <c r="C78" s="3">
        <v>0.42361111111111099</v>
      </c>
      <c r="D78" s="17" t="s">
        <v>124</v>
      </c>
      <c r="E78" s="5" t="s">
        <v>38</v>
      </c>
      <c r="F78" s="6" t="s">
        <v>90</v>
      </c>
    </row>
    <row r="79" spans="1:6" ht="22.5" customHeight="1" x14ac:dyDescent="0.25">
      <c r="A79" s="1">
        <v>77</v>
      </c>
      <c r="B79" s="2">
        <v>44601</v>
      </c>
      <c r="C79" s="3">
        <v>0.42708333333333298</v>
      </c>
      <c r="D79" s="17" t="s">
        <v>125</v>
      </c>
      <c r="E79" s="5" t="s">
        <v>38</v>
      </c>
      <c r="F79" s="6" t="s">
        <v>90</v>
      </c>
    </row>
    <row r="80" spans="1:6" ht="22.5" customHeight="1" x14ac:dyDescent="0.25">
      <c r="A80" s="1">
        <v>78</v>
      </c>
      <c r="B80" s="2">
        <v>44601</v>
      </c>
      <c r="C80" s="3">
        <v>0.43055555555555602</v>
      </c>
      <c r="D80" s="17" t="s">
        <v>126</v>
      </c>
      <c r="E80" s="5" t="s">
        <v>38</v>
      </c>
      <c r="F80" s="6" t="s">
        <v>90</v>
      </c>
    </row>
    <row r="81" spans="1:6" ht="22.5" customHeight="1" x14ac:dyDescent="0.25">
      <c r="A81" s="1">
        <v>79</v>
      </c>
      <c r="B81" s="2">
        <v>44601</v>
      </c>
      <c r="C81" s="3">
        <v>0.43402777777777801</v>
      </c>
      <c r="D81" s="19" t="s">
        <v>127</v>
      </c>
      <c r="E81" s="5" t="s">
        <v>38</v>
      </c>
      <c r="F81" s="6" t="s">
        <v>128</v>
      </c>
    </row>
    <row r="82" spans="1:6" ht="22.5" customHeight="1" x14ac:dyDescent="0.25">
      <c r="A82" s="1">
        <v>80</v>
      </c>
      <c r="B82" s="2">
        <v>44601</v>
      </c>
      <c r="C82" s="3">
        <v>0.4375</v>
      </c>
      <c r="D82" s="17" t="s">
        <v>129</v>
      </c>
      <c r="E82" s="5" t="s">
        <v>38</v>
      </c>
      <c r="F82" s="6" t="s">
        <v>130</v>
      </c>
    </row>
    <row r="83" spans="1:6" ht="22.5" customHeight="1" x14ac:dyDescent="0.25">
      <c r="A83" s="1">
        <v>81</v>
      </c>
      <c r="B83" s="2">
        <v>44608</v>
      </c>
      <c r="C83" s="3">
        <v>0.39583333333333298</v>
      </c>
      <c r="D83" s="17" t="s">
        <v>131</v>
      </c>
      <c r="E83" s="5" t="s">
        <v>132</v>
      </c>
      <c r="F83" s="6" t="s">
        <v>25</v>
      </c>
    </row>
    <row r="84" spans="1:6" ht="22.5" customHeight="1" x14ac:dyDescent="0.25">
      <c r="A84" s="1">
        <v>82</v>
      </c>
      <c r="B84" s="2">
        <v>44608</v>
      </c>
      <c r="C84" s="3">
        <v>0.39930555555555602</v>
      </c>
      <c r="D84" s="17" t="s">
        <v>133</v>
      </c>
      <c r="E84" s="5" t="s">
        <v>132</v>
      </c>
      <c r="F84" s="6" t="s">
        <v>25</v>
      </c>
    </row>
    <row r="85" spans="1:6" ht="22.5" customHeight="1" x14ac:dyDescent="0.25">
      <c r="A85" s="1">
        <v>83</v>
      </c>
      <c r="B85" s="2">
        <v>44608</v>
      </c>
      <c r="C85" s="3">
        <v>0.40277777777777801</v>
      </c>
      <c r="D85" s="17" t="s">
        <v>134</v>
      </c>
      <c r="E85" s="5" t="s">
        <v>132</v>
      </c>
      <c r="F85" s="6" t="s">
        <v>25</v>
      </c>
    </row>
    <row r="86" spans="1:6" ht="22.5" customHeight="1" x14ac:dyDescent="0.25">
      <c r="A86" s="1">
        <v>84</v>
      </c>
      <c r="B86" s="2">
        <v>44608</v>
      </c>
      <c r="C86" s="3">
        <v>0.40625</v>
      </c>
      <c r="D86" s="17" t="s">
        <v>135</v>
      </c>
      <c r="E86" s="5" t="s">
        <v>136</v>
      </c>
      <c r="F86" s="6" t="s">
        <v>25</v>
      </c>
    </row>
    <row r="87" spans="1:6" ht="22.5" customHeight="1" x14ac:dyDescent="0.25">
      <c r="A87" s="1">
        <v>85</v>
      </c>
      <c r="B87" s="2">
        <v>44608</v>
      </c>
      <c r="C87" s="3">
        <v>0.40972222222222199</v>
      </c>
      <c r="D87" s="17" t="s">
        <v>137</v>
      </c>
      <c r="E87" s="5" t="s">
        <v>138</v>
      </c>
      <c r="F87" s="6" t="s">
        <v>25</v>
      </c>
    </row>
    <row r="88" spans="1:6" ht="22.5" customHeight="1" x14ac:dyDescent="0.25">
      <c r="A88" s="1">
        <v>86</v>
      </c>
      <c r="B88" s="2">
        <v>44608</v>
      </c>
      <c r="C88" s="3">
        <v>0.41319444444444398</v>
      </c>
      <c r="D88" s="17" t="s">
        <v>139</v>
      </c>
      <c r="E88" s="5" t="s">
        <v>140</v>
      </c>
      <c r="F88" s="6" t="s">
        <v>141</v>
      </c>
    </row>
    <row r="89" spans="1:6" ht="22.5" customHeight="1" x14ac:dyDescent="0.25">
      <c r="A89" s="1">
        <v>87</v>
      </c>
      <c r="B89" s="2">
        <v>44615</v>
      </c>
      <c r="C89" s="3">
        <v>0.39583333333333298</v>
      </c>
      <c r="D89" s="17" t="s">
        <v>142</v>
      </c>
      <c r="E89" s="5" t="s">
        <v>143</v>
      </c>
      <c r="F89" s="6" t="s">
        <v>20</v>
      </c>
    </row>
    <row r="90" spans="1:6" ht="22.5" customHeight="1" x14ac:dyDescent="0.25">
      <c r="A90" s="1">
        <v>88</v>
      </c>
      <c r="B90" s="2">
        <v>44615</v>
      </c>
      <c r="C90" s="3">
        <v>0.39930555555555602</v>
      </c>
      <c r="D90" s="17" t="s">
        <v>144</v>
      </c>
      <c r="E90" s="23" t="s">
        <v>145</v>
      </c>
      <c r="F90" s="6" t="s">
        <v>20</v>
      </c>
    </row>
    <row r="91" spans="1:6" ht="22.5" customHeight="1" x14ac:dyDescent="0.25">
      <c r="A91" s="1">
        <v>89</v>
      </c>
      <c r="B91" s="2">
        <v>44615</v>
      </c>
      <c r="C91" s="3">
        <v>0.40277777777777801</v>
      </c>
      <c r="D91" s="17" t="s">
        <v>146</v>
      </c>
      <c r="E91" s="5" t="s">
        <v>147</v>
      </c>
      <c r="F91" s="6" t="s">
        <v>148</v>
      </c>
    </row>
    <row r="92" spans="1:6" ht="22.5" customHeight="1" x14ac:dyDescent="0.25">
      <c r="A92" s="1">
        <v>90</v>
      </c>
      <c r="B92" s="2">
        <v>44615</v>
      </c>
      <c r="C92" s="3">
        <v>0.40625</v>
      </c>
      <c r="D92" s="17" t="s">
        <v>149</v>
      </c>
      <c r="E92" s="5" t="s">
        <v>150</v>
      </c>
      <c r="F92" s="6" t="s">
        <v>151</v>
      </c>
    </row>
    <row r="93" spans="1:6" ht="22.5" customHeight="1" x14ac:dyDescent="0.25">
      <c r="A93" s="1">
        <v>91</v>
      </c>
      <c r="B93" s="2">
        <v>44615</v>
      </c>
      <c r="C93" s="3">
        <v>0.40972222222222199</v>
      </c>
      <c r="D93" s="17" t="s">
        <v>152</v>
      </c>
      <c r="E93" s="5" t="s">
        <v>102</v>
      </c>
      <c r="F93" s="6" t="s">
        <v>20</v>
      </c>
    </row>
    <row r="94" spans="1:6" ht="22.5" customHeight="1" x14ac:dyDescent="0.25">
      <c r="A94" s="1">
        <v>92</v>
      </c>
      <c r="B94" s="2">
        <v>44615</v>
      </c>
      <c r="C94" s="3">
        <v>0.41319444444444398</v>
      </c>
      <c r="D94" s="17" t="s">
        <v>153</v>
      </c>
      <c r="E94" s="5" t="s">
        <v>154</v>
      </c>
      <c r="F94" s="6" t="s">
        <v>155</v>
      </c>
    </row>
    <row r="95" spans="1:6" ht="22.5" customHeight="1" x14ac:dyDescent="0.25">
      <c r="A95" s="1">
        <v>93</v>
      </c>
      <c r="B95" s="2">
        <v>44615</v>
      </c>
      <c r="C95" s="3">
        <v>0.41666666666666702</v>
      </c>
      <c r="D95" s="17" t="s">
        <v>156</v>
      </c>
      <c r="E95" s="5" t="s">
        <v>157</v>
      </c>
      <c r="F95" s="6" t="s">
        <v>158</v>
      </c>
    </row>
    <row r="96" spans="1:6" ht="22.5" customHeight="1" x14ac:dyDescent="0.25">
      <c r="A96" s="1">
        <v>94</v>
      </c>
      <c r="B96" s="2">
        <v>44615</v>
      </c>
      <c r="C96" s="3">
        <v>0.42013888888888901</v>
      </c>
      <c r="D96" s="17" t="s">
        <v>159</v>
      </c>
      <c r="E96" s="5" t="s">
        <v>102</v>
      </c>
      <c r="F96" s="6" t="s">
        <v>63</v>
      </c>
    </row>
    <row r="97" spans="1:64" ht="22.5" customHeight="1" x14ac:dyDescent="0.25">
      <c r="A97" s="1">
        <v>95</v>
      </c>
      <c r="B97" s="2">
        <v>44615</v>
      </c>
      <c r="C97" s="3">
        <v>0.42361111111111099</v>
      </c>
      <c r="D97" s="17" t="s">
        <v>160</v>
      </c>
      <c r="E97" s="5" t="s">
        <v>107</v>
      </c>
      <c r="F97" s="6" t="s">
        <v>30</v>
      </c>
    </row>
    <row r="98" spans="1:64" ht="22.5" customHeight="1" x14ac:dyDescent="0.25">
      <c r="A98" s="1">
        <v>96</v>
      </c>
      <c r="B98" s="2">
        <v>44615</v>
      </c>
      <c r="C98" s="3">
        <v>0.42708333333333298</v>
      </c>
      <c r="D98" s="17" t="s">
        <v>161</v>
      </c>
      <c r="E98" s="5" t="s">
        <v>107</v>
      </c>
      <c r="F98" s="6" t="s">
        <v>30</v>
      </c>
    </row>
    <row r="99" spans="1:64" ht="22.5" customHeight="1" x14ac:dyDescent="0.25">
      <c r="A99" s="1">
        <v>97</v>
      </c>
      <c r="B99" s="2">
        <v>44615</v>
      </c>
      <c r="C99" s="3">
        <v>0.43055555555555602</v>
      </c>
      <c r="D99" s="17" t="s">
        <v>162</v>
      </c>
      <c r="E99" s="5" t="s">
        <v>107</v>
      </c>
      <c r="F99" s="6" t="s">
        <v>30</v>
      </c>
    </row>
    <row r="100" spans="1:64" ht="22.5" customHeight="1" x14ac:dyDescent="0.25">
      <c r="A100" s="1">
        <v>98</v>
      </c>
      <c r="B100" s="2">
        <v>44615</v>
      </c>
      <c r="C100" s="3">
        <v>0.43402777777777801</v>
      </c>
      <c r="D100" s="17" t="s">
        <v>163</v>
      </c>
      <c r="E100" s="5" t="s">
        <v>164</v>
      </c>
      <c r="F100" s="6" t="s">
        <v>71</v>
      </c>
    </row>
    <row r="101" spans="1:64" ht="22.5" customHeight="1" x14ac:dyDescent="0.25">
      <c r="A101" s="1">
        <v>99</v>
      </c>
      <c r="B101" s="2">
        <v>44615</v>
      </c>
      <c r="C101" s="3">
        <v>0.4375</v>
      </c>
      <c r="D101" s="17" t="s">
        <v>165</v>
      </c>
      <c r="E101" s="5" t="s">
        <v>166</v>
      </c>
      <c r="F101" s="6" t="s">
        <v>71</v>
      </c>
    </row>
    <row r="102" spans="1:64" ht="22.5" customHeight="1" x14ac:dyDescent="0.25">
      <c r="A102" s="1">
        <v>100</v>
      </c>
      <c r="B102" s="2">
        <v>44615</v>
      </c>
      <c r="C102" s="3">
        <v>0.44097222222222199</v>
      </c>
      <c r="D102" s="17" t="s">
        <v>167</v>
      </c>
      <c r="E102" s="5" t="s">
        <v>100</v>
      </c>
      <c r="F102" s="6" t="s">
        <v>25</v>
      </c>
    </row>
    <row r="103" spans="1:64" ht="22.5" customHeight="1" x14ac:dyDescent="0.25">
      <c r="A103" s="1">
        <v>101</v>
      </c>
      <c r="B103" s="2">
        <v>44622</v>
      </c>
      <c r="C103" s="3">
        <v>0.39583333333333298</v>
      </c>
      <c r="D103" s="17" t="s">
        <v>168</v>
      </c>
      <c r="E103" s="5" t="s">
        <v>169</v>
      </c>
      <c r="F103" s="6" t="s">
        <v>170</v>
      </c>
    </row>
    <row r="104" spans="1:64" ht="22.5" customHeight="1" x14ac:dyDescent="0.35">
      <c r="A104" s="24" t="s">
        <v>171</v>
      </c>
      <c r="B104" s="25">
        <v>44610</v>
      </c>
      <c r="C104" s="26">
        <v>0.39583333333333298</v>
      </c>
      <c r="D104" s="27" t="s">
        <v>172</v>
      </c>
      <c r="E104" s="28" t="s">
        <v>173</v>
      </c>
      <c r="F104" s="29" t="s">
        <v>174</v>
      </c>
      <c r="G104" s="30"/>
    </row>
    <row r="105" spans="1:64" ht="31.5" customHeight="1" x14ac:dyDescent="0.25">
      <c r="A105" s="31">
        <v>102</v>
      </c>
      <c r="B105" s="32">
        <v>44622</v>
      </c>
      <c r="C105" s="33">
        <v>0.39930555555555602</v>
      </c>
      <c r="D105" s="16" t="s">
        <v>168</v>
      </c>
      <c r="E105" s="13" t="s">
        <v>169</v>
      </c>
      <c r="F105" s="13" t="s">
        <v>30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</row>
    <row r="106" spans="1:64" ht="33" customHeight="1" x14ac:dyDescent="0.25">
      <c r="A106" s="31">
        <v>103</v>
      </c>
      <c r="B106" s="32">
        <v>44622</v>
      </c>
      <c r="C106" s="33">
        <v>0.40277777777777801</v>
      </c>
      <c r="D106" s="16" t="s">
        <v>175</v>
      </c>
      <c r="E106" s="13" t="s">
        <v>84</v>
      </c>
      <c r="F106" s="13" t="s">
        <v>20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</row>
    <row r="107" spans="1:64" ht="22.5" customHeight="1" x14ac:dyDescent="0.25">
      <c r="A107" s="1">
        <v>104</v>
      </c>
      <c r="B107" s="2">
        <v>44622</v>
      </c>
      <c r="C107" s="3">
        <v>0.40625</v>
      </c>
      <c r="D107" s="17" t="s">
        <v>176</v>
      </c>
      <c r="E107" s="5" t="s">
        <v>177</v>
      </c>
      <c r="F107" s="6" t="s">
        <v>20</v>
      </c>
    </row>
    <row r="108" spans="1:64" ht="22.5" customHeight="1" x14ac:dyDescent="0.25">
      <c r="A108" s="1">
        <v>105</v>
      </c>
      <c r="B108" s="2">
        <v>44622</v>
      </c>
      <c r="C108" s="3">
        <v>0.40972222222222199</v>
      </c>
      <c r="D108" s="17" t="s">
        <v>178</v>
      </c>
      <c r="E108" s="5" t="s">
        <v>179</v>
      </c>
      <c r="F108" s="6" t="s">
        <v>180</v>
      </c>
    </row>
    <row r="109" spans="1:64" ht="22.5" customHeight="1" x14ac:dyDescent="0.25">
      <c r="A109" s="1">
        <v>106</v>
      </c>
      <c r="B109" s="2">
        <v>44622</v>
      </c>
      <c r="C109" s="3">
        <v>0.41319444444444398</v>
      </c>
      <c r="D109" s="17" t="s">
        <v>181</v>
      </c>
      <c r="E109" s="5" t="s">
        <v>118</v>
      </c>
      <c r="F109" s="6" t="s">
        <v>182</v>
      </c>
    </row>
    <row r="110" spans="1:64" ht="22.5" customHeight="1" x14ac:dyDescent="0.25">
      <c r="A110" s="1">
        <v>107</v>
      </c>
      <c r="B110" s="2">
        <v>44622</v>
      </c>
      <c r="C110" s="3">
        <v>0.41666666666666702</v>
      </c>
      <c r="D110" s="17" t="s">
        <v>87</v>
      </c>
      <c r="E110" s="5" t="s">
        <v>38</v>
      </c>
      <c r="F110" s="6" t="s">
        <v>30</v>
      </c>
    </row>
    <row r="111" spans="1:64" ht="22.5" customHeight="1" x14ac:dyDescent="0.25">
      <c r="A111" s="1">
        <v>108</v>
      </c>
      <c r="B111" s="2">
        <v>44622</v>
      </c>
      <c r="C111" s="3">
        <v>0.42013888888888901</v>
      </c>
      <c r="D111" s="17" t="s">
        <v>183</v>
      </c>
      <c r="E111" s="5" t="s">
        <v>184</v>
      </c>
      <c r="F111" s="6" t="s">
        <v>90</v>
      </c>
    </row>
    <row r="112" spans="1:64" ht="22.5" customHeight="1" x14ac:dyDescent="0.25">
      <c r="A112" s="1">
        <v>109</v>
      </c>
      <c r="B112" s="2">
        <v>44622</v>
      </c>
      <c r="C112" s="3">
        <v>0.42361111111111099</v>
      </c>
      <c r="D112" s="17" t="s">
        <v>185</v>
      </c>
      <c r="E112" s="5" t="s">
        <v>186</v>
      </c>
      <c r="F112" s="6" t="s">
        <v>20</v>
      </c>
    </row>
    <row r="113" spans="1:64" ht="47.25" customHeight="1" x14ac:dyDescent="0.25">
      <c r="A113" s="31">
        <v>110</v>
      </c>
      <c r="B113" s="32">
        <v>44622</v>
      </c>
      <c r="C113" s="33">
        <v>0.42708333333333298</v>
      </c>
      <c r="D113" s="16" t="s">
        <v>187</v>
      </c>
      <c r="E113" s="13" t="s">
        <v>188</v>
      </c>
      <c r="F113" s="13" t="s">
        <v>25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</row>
    <row r="114" spans="1:64" ht="22.5" customHeight="1" x14ac:dyDescent="0.25">
      <c r="A114" s="1">
        <v>111</v>
      </c>
      <c r="B114" s="2">
        <v>44629</v>
      </c>
      <c r="C114" s="3">
        <v>0.39583333333333298</v>
      </c>
      <c r="D114" s="17" t="s">
        <v>189</v>
      </c>
      <c r="E114" s="5" t="s">
        <v>102</v>
      </c>
      <c r="F114" s="6" t="s">
        <v>20</v>
      </c>
    </row>
    <row r="115" spans="1:64" ht="22.5" customHeight="1" x14ac:dyDescent="0.25">
      <c r="A115" s="1">
        <v>112</v>
      </c>
      <c r="B115" s="2">
        <v>44629</v>
      </c>
      <c r="C115" s="3">
        <v>0.39930555555555602</v>
      </c>
      <c r="D115" s="17" t="s">
        <v>190</v>
      </c>
      <c r="E115" s="5" t="s">
        <v>191</v>
      </c>
      <c r="F115" s="6" t="s">
        <v>192</v>
      </c>
    </row>
    <row r="116" spans="1:64" ht="22.5" customHeight="1" x14ac:dyDescent="0.25">
      <c r="A116" s="1">
        <v>113</v>
      </c>
      <c r="B116" s="2">
        <v>44629</v>
      </c>
      <c r="C116" s="3">
        <v>0.40277777777777801</v>
      </c>
      <c r="D116" s="17" t="s">
        <v>193</v>
      </c>
      <c r="E116" s="5" t="s">
        <v>118</v>
      </c>
      <c r="F116" s="6" t="s">
        <v>194</v>
      </c>
    </row>
    <row r="117" spans="1:64" ht="22.5" customHeight="1" x14ac:dyDescent="0.25">
      <c r="A117" s="1">
        <v>114</v>
      </c>
      <c r="B117" s="2">
        <v>44629</v>
      </c>
      <c r="C117" s="3">
        <v>0.40625</v>
      </c>
      <c r="D117" s="17" t="s">
        <v>195</v>
      </c>
      <c r="E117" s="5" t="s">
        <v>196</v>
      </c>
      <c r="F117" s="6" t="s">
        <v>25</v>
      </c>
      <c r="J117" s="6" t="s">
        <v>59</v>
      </c>
    </row>
    <row r="118" spans="1:64" ht="22.5" customHeight="1" x14ac:dyDescent="0.25">
      <c r="A118" s="1">
        <v>115</v>
      </c>
      <c r="B118" s="2">
        <v>44629</v>
      </c>
      <c r="C118" s="3">
        <v>0.40972222222222199</v>
      </c>
      <c r="D118" s="17" t="s">
        <v>197</v>
      </c>
      <c r="E118" s="5" t="s">
        <v>198</v>
      </c>
      <c r="F118" s="6" t="s">
        <v>30</v>
      </c>
    </row>
    <row r="119" spans="1:64" ht="22.5" customHeight="1" x14ac:dyDescent="0.25">
      <c r="A119" s="1">
        <v>116</v>
      </c>
      <c r="B119" s="2">
        <v>44629</v>
      </c>
      <c r="C119" s="3">
        <v>0.41319444444444398</v>
      </c>
      <c r="D119" s="17" t="s">
        <v>197</v>
      </c>
      <c r="E119" s="5" t="s">
        <v>198</v>
      </c>
      <c r="F119" s="6" t="s">
        <v>199</v>
      </c>
    </row>
    <row r="120" spans="1:64" ht="22.5" customHeight="1" x14ac:dyDescent="0.25">
      <c r="A120" s="1">
        <v>117</v>
      </c>
      <c r="B120" s="2">
        <v>44636</v>
      </c>
      <c r="C120" s="3">
        <v>0.39583333333333298</v>
      </c>
      <c r="D120" s="17" t="s">
        <v>200</v>
      </c>
      <c r="E120" s="5" t="s">
        <v>38</v>
      </c>
      <c r="F120" s="6" t="s">
        <v>88</v>
      </c>
    </row>
    <row r="121" spans="1:64" ht="22.5" customHeight="1" x14ac:dyDescent="0.25">
      <c r="A121" s="1">
        <v>118</v>
      </c>
      <c r="B121" s="2">
        <v>44636</v>
      </c>
      <c r="C121" s="3">
        <v>0.39930555555555602</v>
      </c>
      <c r="D121" s="17" t="s">
        <v>201</v>
      </c>
      <c r="E121" s="5" t="s">
        <v>38</v>
      </c>
      <c r="F121" s="6" t="s">
        <v>88</v>
      </c>
    </row>
    <row r="122" spans="1:64" ht="22.5" customHeight="1" x14ac:dyDescent="0.25">
      <c r="A122" s="1">
        <v>119</v>
      </c>
      <c r="B122" s="2">
        <v>44629</v>
      </c>
      <c r="C122" s="3">
        <v>0.41666666666666702</v>
      </c>
      <c r="D122" s="19" t="s">
        <v>202</v>
      </c>
      <c r="E122" s="5" t="s">
        <v>38</v>
      </c>
      <c r="F122" s="6" t="s">
        <v>90</v>
      </c>
    </row>
    <row r="123" spans="1:64" ht="22.5" customHeight="1" x14ac:dyDescent="0.25">
      <c r="A123" s="1">
        <v>120</v>
      </c>
      <c r="B123" s="2">
        <v>44629</v>
      </c>
      <c r="C123" s="3">
        <v>0.42013888888888901</v>
      </c>
      <c r="D123" s="17" t="s">
        <v>203</v>
      </c>
      <c r="E123" s="5" t="s">
        <v>38</v>
      </c>
      <c r="F123" s="6" t="s">
        <v>88</v>
      </c>
    </row>
    <row r="124" spans="1:64" ht="22.5" customHeight="1" x14ac:dyDescent="0.25">
      <c r="A124" s="1">
        <v>121</v>
      </c>
      <c r="B124" s="2">
        <v>44629</v>
      </c>
      <c r="C124" s="3">
        <v>0.42361111111111099</v>
      </c>
      <c r="D124" s="17" t="s">
        <v>204</v>
      </c>
      <c r="E124" s="5" t="s">
        <v>38</v>
      </c>
      <c r="F124" s="6" t="s">
        <v>30</v>
      </c>
    </row>
    <row r="125" spans="1:64" ht="22.5" customHeight="1" x14ac:dyDescent="0.25">
      <c r="A125" s="1">
        <v>122</v>
      </c>
      <c r="B125" s="2">
        <v>44629</v>
      </c>
      <c r="C125" s="3">
        <v>0.42708333333333298</v>
      </c>
      <c r="D125" s="17" t="s">
        <v>204</v>
      </c>
      <c r="E125" s="5" t="s">
        <v>38</v>
      </c>
      <c r="F125" s="6" t="s">
        <v>205</v>
      </c>
    </row>
    <row r="126" spans="1:64" ht="22.5" customHeight="1" x14ac:dyDescent="0.25">
      <c r="A126" s="1">
        <v>123</v>
      </c>
      <c r="B126" s="2">
        <v>44629</v>
      </c>
      <c r="C126" s="3">
        <v>0.43055555555555602</v>
      </c>
      <c r="D126" s="17" t="s">
        <v>206</v>
      </c>
      <c r="E126" s="5" t="s">
        <v>38</v>
      </c>
      <c r="F126" s="6" t="s">
        <v>207</v>
      </c>
    </row>
    <row r="127" spans="1:64" ht="22.5" customHeight="1" x14ac:dyDescent="0.25">
      <c r="A127" s="1" t="s">
        <v>208</v>
      </c>
      <c r="B127" s="2">
        <v>44636</v>
      </c>
      <c r="C127" s="3">
        <v>0.40277777777777801</v>
      </c>
      <c r="D127" s="17" t="s">
        <v>209</v>
      </c>
      <c r="E127" s="5" t="s">
        <v>38</v>
      </c>
      <c r="F127" s="6" t="s">
        <v>205</v>
      </c>
    </row>
    <row r="128" spans="1:64" ht="22.5" customHeight="1" x14ac:dyDescent="0.25">
      <c r="A128" s="1">
        <v>124</v>
      </c>
      <c r="B128" s="2">
        <v>44636</v>
      </c>
      <c r="C128" s="3">
        <v>0.40625</v>
      </c>
      <c r="D128" s="17" t="s">
        <v>210</v>
      </c>
      <c r="E128" s="5" t="s">
        <v>211</v>
      </c>
      <c r="F128" s="6" t="s">
        <v>212</v>
      </c>
    </row>
    <row r="129" spans="1:6" ht="22.5" customHeight="1" x14ac:dyDescent="0.25">
      <c r="A129" s="1">
        <v>125</v>
      </c>
      <c r="B129" s="2">
        <v>44636</v>
      </c>
      <c r="C129" s="3">
        <v>0.40972222222222199</v>
      </c>
      <c r="D129" s="17" t="s">
        <v>210</v>
      </c>
      <c r="E129" s="5" t="s">
        <v>211</v>
      </c>
      <c r="F129" s="6" t="s">
        <v>213</v>
      </c>
    </row>
    <row r="130" spans="1:6" ht="22.5" customHeight="1" x14ac:dyDescent="0.25">
      <c r="A130" s="1">
        <v>126</v>
      </c>
      <c r="B130" s="2">
        <v>44636</v>
      </c>
      <c r="C130" s="3">
        <v>0.41319444444444398</v>
      </c>
      <c r="D130" s="17" t="s">
        <v>214</v>
      </c>
      <c r="E130" s="5" t="s">
        <v>38</v>
      </c>
      <c r="F130" s="6" t="s">
        <v>215</v>
      </c>
    </row>
    <row r="131" spans="1:6" ht="22.5" customHeight="1" x14ac:dyDescent="0.25">
      <c r="A131" s="1">
        <v>127</v>
      </c>
      <c r="B131" s="2">
        <v>44636</v>
      </c>
      <c r="C131" s="3">
        <v>0.41666666666666702</v>
      </c>
      <c r="D131" s="17" t="s">
        <v>216</v>
      </c>
      <c r="E131" s="5" t="s">
        <v>217</v>
      </c>
      <c r="F131" s="6" t="s">
        <v>90</v>
      </c>
    </row>
    <row r="132" spans="1:6" ht="22.5" customHeight="1" x14ac:dyDescent="0.25">
      <c r="A132" s="21">
        <v>128</v>
      </c>
      <c r="B132" s="2">
        <v>44636</v>
      </c>
      <c r="C132" s="3">
        <v>0.42013888888888901</v>
      </c>
      <c r="D132" s="17" t="s">
        <v>218</v>
      </c>
      <c r="E132" s="5" t="s">
        <v>100</v>
      </c>
      <c r="F132" s="6" t="s">
        <v>30</v>
      </c>
    </row>
    <row r="133" spans="1:6" ht="22.5" customHeight="1" x14ac:dyDescent="0.25">
      <c r="A133" s="1">
        <v>129</v>
      </c>
      <c r="B133" s="2">
        <v>44636</v>
      </c>
      <c r="C133" s="34">
        <v>0.42361111111111099</v>
      </c>
      <c r="D133" s="17" t="s">
        <v>219</v>
      </c>
      <c r="E133" s="5" t="s">
        <v>220</v>
      </c>
      <c r="F133" s="6" t="s">
        <v>30</v>
      </c>
    </row>
    <row r="134" spans="1:6" ht="22.5" customHeight="1" x14ac:dyDescent="0.25">
      <c r="A134" s="1">
        <v>130</v>
      </c>
      <c r="B134" s="2">
        <v>44636</v>
      </c>
      <c r="C134" s="34">
        <v>0.42708333333333298</v>
      </c>
      <c r="D134" s="17" t="s">
        <v>221</v>
      </c>
      <c r="E134" s="5" t="s">
        <v>138</v>
      </c>
      <c r="F134" s="6" t="s">
        <v>25</v>
      </c>
    </row>
    <row r="135" spans="1:6" ht="22.5" customHeight="1" x14ac:dyDescent="0.25">
      <c r="A135" s="1">
        <v>131</v>
      </c>
      <c r="B135" s="2">
        <v>44636</v>
      </c>
      <c r="C135" s="34">
        <v>0.43055555555555602</v>
      </c>
      <c r="D135" s="17" t="s">
        <v>222</v>
      </c>
      <c r="E135" s="5" t="s">
        <v>223</v>
      </c>
      <c r="F135" s="6" t="s">
        <v>224</v>
      </c>
    </row>
    <row r="136" spans="1:6" ht="22.5" customHeight="1" x14ac:dyDescent="0.25">
      <c r="A136" s="1">
        <v>132</v>
      </c>
      <c r="B136" s="2">
        <v>44643</v>
      </c>
      <c r="C136" s="3">
        <v>0.39583333333333298</v>
      </c>
      <c r="D136" s="17" t="s">
        <v>225</v>
      </c>
      <c r="E136" s="5" t="s">
        <v>226</v>
      </c>
      <c r="F136" s="6" t="s">
        <v>30</v>
      </c>
    </row>
    <row r="137" spans="1:6" ht="22.5" customHeight="1" x14ac:dyDescent="0.25">
      <c r="A137" s="1">
        <v>133</v>
      </c>
      <c r="B137" s="2">
        <v>44643</v>
      </c>
      <c r="C137" s="3">
        <v>0.39930555555555602</v>
      </c>
      <c r="D137" s="17" t="s">
        <v>227</v>
      </c>
      <c r="E137" s="5" t="s">
        <v>226</v>
      </c>
      <c r="F137" s="6" t="s">
        <v>30</v>
      </c>
    </row>
    <row r="138" spans="1:6" ht="22.5" customHeight="1" x14ac:dyDescent="0.25">
      <c r="A138" s="1">
        <v>134</v>
      </c>
      <c r="B138" s="2">
        <v>44643</v>
      </c>
      <c r="C138" s="3">
        <v>0.40277777777777801</v>
      </c>
      <c r="D138" s="17" t="s">
        <v>228</v>
      </c>
      <c r="E138" s="5" t="s">
        <v>226</v>
      </c>
      <c r="F138" s="6" t="s">
        <v>30</v>
      </c>
    </row>
    <row r="139" spans="1:6" ht="22.5" customHeight="1" x14ac:dyDescent="0.25">
      <c r="A139" s="1">
        <v>135</v>
      </c>
      <c r="B139" s="2">
        <v>44643</v>
      </c>
      <c r="C139" s="3">
        <v>0.40625</v>
      </c>
      <c r="D139" s="17" t="s">
        <v>229</v>
      </c>
      <c r="E139" s="5" t="s">
        <v>230</v>
      </c>
      <c r="F139" s="6" t="s">
        <v>25</v>
      </c>
    </row>
    <row r="140" spans="1:6" ht="22.5" customHeight="1" x14ac:dyDescent="0.25">
      <c r="A140" s="1">
        <v>136</v>
      </c>
      <c r="B140" s="2">
        <v>44643</v>
      </c>
      <c r="C140" s="3">
        <v>0.40972222222222199</v>
      </c>
      <c r="D140" s="17" t="s">
        <v>231</v>
      </c>
      <c r="E140" s="5" t="s">
        <v>232</v>
      </c>
      <c r="F140" s="6" t="s">
        <v>30</v>
      </c>
    </row>
    <row r="141" spans="1:6" ht="22.5" customHeight="1" x14ac:dyDescent="0.25">
      <c r="A141" s="1">
        <v>137</v>
      </c>
      <c r="B141" s="2">
        <v>44643</v>
      </c>
      <c r="C141" s="3">
        <v>0.41319444444444398</v>
      </c>
      <c r="D141" s="17" t="s">
        <v>233</v>
      </c>
      <c r="E141" s="5" t="s">
        <v>220</v>
      </c>
      <c r="F141" s="6" t="s">
        <v>25</v>
      </c>
    </row>
    <row r="142" spans="1:6" ht="22.5" customHeight="1" x14ac:dyDescent="0.25">
      <c r="A142" s="1">
        <v>138</v>
      </c>
      <c r="B142" s="2">
        <v>44643</v>
      </c>
      <c r="C142" s="3">
        <v>0.41666666666666702</v>
      </c>
      <c r="D142" s="17" t="s">
        <v>234</v>
      </c>
      <c r="E142" s="5" t="s">
        <v>235</v>
      </c>
      <c r="F142" s="6" t="s">
        <v>20</v>
      </c>
    </row>
    <row r="143" spans="1:6" ht="22.5" customHeight="1" x14ac:dyDescent="0.25">
      <c r="A143" s="1">
        <v>139</v>
      </c>
      <c r="B143" s="2">
        <v>44643</v>
      </c>
      <c r="C143" s="3">
        <v>0.42013888888888901</v>
      </c>
      <c r="D143" s="17" t="s">
        <v>234</v>
      </c>
      <c r="E143" s="5" t="s">
        <v>235</v>
      </c>
      <c r="F143" s="6" t="s">
        <v>236</v>
      </c>
    </row>
    <row r="144" spans="1:6" ht="22.5" customHeight="1" x14ac:dyDescent="0.25">
      <c r="A144" s="1">
        <v>140</v>
      </c>
      <c r="B144" s="2">
        <v>44643</v>
      </c>
      <c r="C144" s="3">
        <v>0.42361111111111099</v>
      </c>
      <c r="D144" s="17" t="s">
        <v>237</v>
      </c>
      <c r="E144" s="5" t="s">
        <v>238</v>
      </c>
      <c r="F144" s="6" t="s">
        <v>90</v>
      </c>
    </row>
    <row r="145" spans="1:6" ht="22.5" customHeight="1" x14ac:dyDescent="0.25">
      <c r="A145" s="1">
        <v>141</v>
      </c>
      <c r="B145" s="2">
        <v>44643</v>
      </c>
      <c r="C145" s="3">
        <v>0.42708333333333298</v>
      </c>
      <c r="D145" s="17" t="s">
        <v>239</v>
      </c>
      <c r="E145" s="5" t="s">
        <v>240</v>
      </c>
      <c r="F145" s="6" t="s">
        <v>241</v>
      </c>
    </row>
    <row r="146" spans="1:6" ht="22.5" customHeight="1" x14ac:dyDescent="0.25">
      <c r="A146" s="1">
        <v>142</v>
      </c>
      <c r="B146" s="2">
        <v>44643</v>
      </c>
      <c r="C146" s="3">
        <v>0.43055555555555602</v>
      </c>
      <c r="D146" s="17" t="s">
        <v>178</v>
      </c>
      <c r="E146" s="5" t="s">
        <v>179</v>
      </c>
      <c r="F146" s="6" t="s">
        <v>180</v>
      </c>
    </row>
    <row r="147" spans="1:6" ht="22.5" customHeight="1" x14ac:dyDescent="0.25">
      <c r="A147" s="1">
        <v>143</v>
      </c>
      <c r="B147" s="2">
        <v>44643</v>
      </c>
      <c r="C147" s="3">
        <v>0.43402777777777801</v>
      </c>
      <c r="D147" s="17" t="s">
        <v>242</v>
      </c>
      <c r="E147" s="5" t="s">
        <v>243</v>
      </c>
      <c r="F147" s="6" t="s">
        <v>25</v>
      </c>
    </row>
    <row r="148" spans="1:6" ht="22.5" customHeight="1" x14ac:dyDescent="0.25">
      <c r="A148" s="1">
        <v>144</v>
      </c>
      <c r="B148" s="2">
        <v>44643</v>
      </c>
      <c r="C148" s="3">
        <v>0.4375</v>
      </c>
      <c r="D148" s="17" t="s">
        <v>244</v>
      </c>
      <c r="E148" s="5" t="s">
        <v>245</v>
      </c>
      <c r="F148" s="6" t="s">
        <v>246</v>
      </c>
    </row>
    <row r="149" spans="1:6" ht="22.5" customHeight="1" x14ac:dyDescent="0.25">
      <c r="A149" s="1">
        <v>145</v>
      </c>
      <c r="B149" s="2">
        <v>44643</v>
      </c>
      <c r="C149" s="3">
        <v>0.44097222222222199</v>
      </c>
      <c r="D149" s="17" t="s">
        <v>247</v>
      </c>
      <c r="E149" s="5" t="s">
        <v>38</v>
      </c>
      <c r="F149" s="6" t="s">
        <v>88</v>
      </c>
    </row>
    <row r="150" spans="1:6" ht="22.5" customHeight="1" x14ac:dyDescent="0.25">
      <c r="A150" s="1">
        <v>146</v>
      </c>
      <c r="B150" s="2">
        <v>44643</v>
      </c>
      <c r="C150" s="3">
        <v>0.44444444444444398</v>
      </c>
      <c r="D150" s="17" t="s">
        <v>248</v>
      </c>
      <c r="E150" s="5" t="s">
        <v>249</v>
      </c>
      <c r="F150" s="6" t="s">
        <v>25</v>
      </c>
    </row>
    <row r="151" spans="1:6" ht="22.5" customHeight="1" x14ac:dyDescent="0.25">
      <c r="A151" s="1">
        <v>147</v>
      </c>
      <c r="B151" s="2">
        <v>44643</v>
      </c>
      <c r="C151" s="3">
        <v>0.44791666666666702</v>
      </c>
      <c r="D151" s="17" t="s">
        <v>250</v>
      </c>
      <c r="E151" s="5" t="s">
        <v>157</v>
      </c>
      <c r="F151" s="6" t="s">
        <v>158</v>
      </c>
    </row>
    <row r="152" spans="1:6" ht="22.5" customHeight="1" x14ac:dyDescent="0.25">
      <c r="A152" s="1">
        <v>148</v>
      </c>
      <c r="B152" s="2">
        <v>44643</v>
      </c>
      <c r="C152" s="3">
        <v>0.45138888888888901</v>
      </c>
      <c r="D152" s="17" t="s">
        <v>251</v>
      </c>
      <c r="E152" s="5" t="s">
        <v>38</v>
      </c>
      <c r="F152" s="6" t="s">
        <v>30</v>
      </c>
    </row>
    <row r="153" spans="1:6" ht="22.5" customHeight="1" x14ac:dyDescent="0.25">
      <c r="A153" s="1">
        <v>149</v>
      </c>
      <c r="B153" s="2">
        <v>44643</v>
      </c>
      <c r="C153" s="3">
        <v>0.45486111111111099</v>
      </c>
      <c r="D153" s="17" t="s">
        <v>252</v>
      </c>
      <c r="E153" s="5" t="s">
        <v>38</v>
      </c>
      <c r="F153" s="6" t="s">
        <v>30</v>
      </c>
    </row>
    <row r="154" spans="1:6" ht="22.5" customHeight="1" x14ac:dyDescent="0.25">
      <c r="A154" s="1">
        <v>150</v>
      </c>
      <c r="B154" s="2">
        <v>44643</v>
      </c>
      <c r="C154" s="3">
        <v>0.45833333333333298</v>
      </c>
      <c r="D154" s="17" t="s">
        <v>252</v>
      </c>
      <c r="E154" s="5" t="s">
        <v>38</v>
      </c>
      <c r="F154" s="6" t="s">
        <v>207</v>
      </c>
    </row>
    <row r="155" spans="1:6" ht="22.5" customHeight="1" x14ac:dyDescent="0.25">
      <c r="A155" s="1">
        <v>151</v>
      </c>
      <c r="B155" s="2">
        <v>44643</v>
      </c>
      <c r="C155" s="3">
        <v>0.46180555555555602</v>
      </c>
      <c r="D155" s="17" t="s">
        <v>253</v>
      </c>
      <c r="E155" s="5" t="s">
        <v>226</v>
      </c>
      <c r="F155" s="6" t="s">
        <v>254</v>
      </c>
    </row>
    <row r="156" spans="1:6" ht="22.5" customHeight="1" x14ac:dyDescent="0.25">
      <c r="A156" s="1">
        <v>152</v>
      </c>
      <c r="B156" s="2">
        <v>44643</v>
      </c>
      <c r="C156" s="3">
        <v>0.46527777777777801</v>
      </c>
      <c r="D156" s="17" t="s">
        <v>251</v>
      </c>
      <c r="E156" s="5" t="s">
        <v>38</v>
      </c>
      <c r="F156" s="6" t="s">
        <v>207</v>
      </c>
    </row>
    <row r="157" spans="1:6" ht="22.5" customHeight="1" x14ac:dyDescent="0.25">
      <c r="A157" s="1">
        <v>153</v>
      </c>
      <c r="B157" s="2">
        <v>44643</v>
      </c>
      <c r="C157" s="3">
        <v>0.46875</v>
      </c>
      <c r="D157" s="17" t="s">
        <v>168</v>
      </c>
      <c r="E157" s="5" t="s">
        <v>169</v>
      </c>
      <c r="F157" s="6" t="s">
        <v>255</v>
      </c>
    </row>
    <row r="158" spans="1:6" ht="22.5" customHeight="1" x14ac:dyDescent="0.25">
      <c r="A158" s="1">
        <v>154</v>
      </c>
      <c r="B158" s="2">
        <v>44643</v>
      </c>
      <c r="C158" s="3">
        <v>0.47222222222222199</v>
      </c>
      <c r="D158" s="19" t="s">
        <v>256</v>
      </c>
      <c r="E158" s="5" t="s">
        <v>257</v>
      </c>
      <c r="F158" s="6" t="s">
        <v>25</v>
      </c>
    </row>
    <row r="159" spans="1:6" ht="22.5" customHeight="1" x14ac:dyDescent="0.25">
      <c r="A159" s="1">
        <v>155</v>
      </c>
      <c r="B159" s="2">
        <v>44643</v>
      </c>
      <c r="C159" s="3">
        <v>0.47569444444444398</v>
      </c>
      <c r="D159" s="19" t="s">
        <v>258</v>
      </c>
      <c r="E159" s="5" t="s">
        <v>259</v>
      </c>
      <c r="F159" s="6" t="s">
        <v>25</v>
      </c>
    </row>
    <row r="160" spans="1:6" ht="22.5" customHeight="1" x14ac:dyDescent="0.25">
      <c r="A160" s="1">
        <v>156</v>
      </c>
      <c r="B160" s="2">
        <v>44650</v>
      </c>
      <c r="C160" s="3">
        <v>0.39583333333333298</v>
      </c>
      <c r="D160" s="17" t="s">
        <v>260</v>
      </c>
      <c r="E160" s="5" t="s">
        <v>261</v>
      </c>
      <c r="F160" s="6" t="s">
        <v>20</v>
      </c>
    </row>
    <row r="161" spans="1:6" ht="22.5" customHeight="1" x14ac:dyDescent="0.25">
      <c r="A161" s="1">
        <v>157</v>
      </c>
      <c r="B161" s="2">
        <v>44650</v>
      </c>
      <c r="C161" s="3">
        <v>0.39930555555555602</v>
      </c>
      <c r="D161" s="17" t="s">
        <v>262</v>
      </c>
      <c r="E161" s="5" t="s">
        <v>107</v>
      </c>
      <c r="F161" s="6" t="s">
        <v>30</v>
      </c>
    </row>
    <row r="162" spans="1:6" ht="22.5" customHeight="1" x14ac:dyDescent="0.25">
      <c r="A162" s="1">
        <v>158</v>
      </c>
      <c r="B162" s="2">
        <v>44650</v>
      </c>
      <c r="C162" s="3">
        <v>0.40277777777777801</v>
      </c>
      <c r="D162" s="17" t="s">
        <v>263</v>
      </c>
      <c r="E162" s="5" t="s">
        <v>264</v>
      </c>
      <c r="F162" s="6" t="s">
        <v>25</v>
      </c>
    </row>
    <row r="163" spans="1:6" ht="22.5" customHeight="1" x14ac:dyDescent="0.25">
      <c r="A163" s="1">
        <v>159</v>
      </c>
      <c r="B163" s="2">
        <v>44650</v>
      </c>
      <c r="C163" s="3">
        <v>0.40625</v>
      </c>
      <c r="D163" s="17" t="s">
        <v>265</v>
      </c>
      <c r="E163" s="5" t="s">
        <v>102</v>
      </c>
      <c r="F163" s="6" t="s">
        <v>30</v>
      </c>
    </row>
    <row r="164" spans="1:6" ht="22.5" customHeight="1" x14ac:dyDescent="0.25">
      <c r="A164" s="1">
        <v>160</v>
      </c>
      <c r="B164" s="2">
        <v>44650</v>
      </c>
      <c r="C164" s="3">
        <v>0.40972222222222199</v>
      </c>
      <c r="D164" s="17" t="s">
        <v>266</v>
      </c>
      <c r="E164" s="5" t="s">
        <v>102</v>
      </c>
      <c r="F164" s="6" t="s">
        <v>30</v>
      </c>
    </row>
    <row r="165" spans="1:6" ht="22.5" customHeight="1" x14ac:dyDescent="0.25">
      <c r="A165" s="1">
        <v>161</v>
      </c>
      <c r="B165" s="2">
        <v>44650</v>
      </c>
      <c r="C165" s="3">
        <v>0.41319444444444398</v>
      </c>
      <c r="D165" s="17" t="s">
        <v>267</v>
      </c>
      <c r="E165" s="5" t="s">
        <v>268</v>
      </c>
      <c r="F165" s="6" t="s">
        <v>30</v>
      </c>
    </row>
    <row r="166" spans="1:6" ht="22.5" customHeight="1" x14ac:dyDescent="0.25">
      <c r="A166" s="1">
        <v>162</v>
      </c>
      <c r="B166" s="2">
        <v>44650</v>
      </c>
      <c r="C166" s="3">
        <v>0.41666666666666702</v>
      </c>
      <c r="D166" s="17" t="s">
        <v>269</v>
      </c>
      <c r="E166" s="5" t="s">
        <v>268</v>
      </c>
      <c r="F166" s="6" t="s">
        <v>30</v>
      </c>
    </row>
    <row r="167" spans="1:6" ht="22.5" customHeight="1" x14ac:dyDescent="0.25">
      <c r="A167" s="1">
        <v>163</v>
      </c>
      <c r="B167" s="2">
        <v>44650</v>
      </c>
      <c r="C167" s="3">
        <v>0.42013888888888901</v>
      </c>
      <c r="D167" s="17" t="s">
        <v>270</v>
      </c>
      <c r="E167" s="5" t="s">
        <v>268</v>
      </c>
      <c r="F167" s="6" t="s">
        <v>30</v>
      </c>
    </row>
    <row r="168" spans="1:6" ht="22.5" customHeight="1" x14ac:dyDescent="0.25">
      <c r="A168" s="1">
        <v>164</v>
      </c>
      <c r="B168" s="2">
        <v>44650</v>
      </c>
      <c r="C168" s="3">
        <v>0.42361111111111099</v>
      </c>
      <c r="D168" s="17" t="s">
        <v>101</v>
      </c>
      <c r="E168" s="5" t="s">
        <v>102</v>
      </c>
      <c r="F168" s="6" t="s">
        <v>30</v>
      </c>
    </row>
    <row r="169" spans="1:6" ht="22.5" customHeight="1" x14ac:dyDescent="0.25">
      <c r="A169" s="1">
        <v>165</v>
      </c>
      <c r="B169" s="2">
        <v>44650</v>
      </c>
      <c r="C169" s="3">
        <v>0.42708333333333298</v>
      </c>
      <c r="D169" s="17" t="s">
        <v>271</v>
      </c>
      <c r="E169" s="5" t="s">
        <v>102</v>
      </c>
      <c r="F169" s="6" t="s">
        <v>30</v>
      </c>
    </row>
    <row r="170" spans="1:6" ht="22.5" customHeight="1" x14ac:dyDescent="0.25">
      <c r="A170" s="1">
        <v>166</v>
      </c>
      <c r="B170" s="2">
        <v>44650</v>
      </c>
      <c r="C170" s="3">
        <v>0.43055555555555602</v>
      </c>
      <c r="D170" s="17" t="s">
        <v>272</v>
      </c>
      <c r="E170" s="5" t="s">
        <v>102</v>
      </c>
      <c r="F170" s="6" t="s">
        <v>30</v>
      </c>
    </row>
    <row r="171" spans="1:6" ht="22.5" customHeight="1" x14ac:dyDescent="0.25">
      <c r="A171" s="1">
        <v>167</v>
      </c>
      <c r="B171" s="2">
        <v>44650</v>
      </c>
      <c r="C171" s="3">
        <v>0.43402777777777801</v>
      </c>
      <c r="D171" s="17" t="s">
        <v>273</v>
      </c>
      <c r="E171" s="5" t="s">
        <v>268</v>
      </c>
      <c r="F171" s="6" t="s">
        <v>30</v>
      </c>
    </row>
    <row r="172" spans="1:6" ht="22.5" customHeight="1" x14ac:dyDescent="0.25">
      <c r="A172" s="1">
        <v>168</v>
      </c>
      <c r="B172" s="2">
        <v>44650</v>
      </c>
      <c r="C172" s="3">
        <v>0.4375</v>
      </c>
      <c r="D172" s="17" t="s">
        <v>274</v>
      </c>
      <c r="E172" s="5" t="s">
        <v>275</v>
      </c>
      <c r="F172" s="6" t="s">
        <v>25</v>
      </c>
    </row>
    <row r="173" spans="1:6" ht="22.5" customHeight="1" x14ac:dyDescent="0.25">
      <c r="A173" s="1">
        <v>169</v>
      </c>
      <c r="B173" s="2">
        <v>44650</v>
      </c>
      <c r="C173" s="3">
        <v>0.44097222222222199</v>
      </c>
      <c r="D173" s="17" t="s">
        <v>276</v>
      </c>
      <c r="E173" s="5" t="s">
        <v>277</v>
      </c>
      <c r="F173" s="6" t="s">
        <v>25</v>
      </c>
    </row>
    <row r="174" spans="1:6" ht="22.5" customHeight="1" x14ac:dyDescent="0.25">
      <c r="A174" s="1">
        <v>170</v>
      </c>
      <c r="B174" s="2">
        <v>44650</v>
      </c>
      <c r="C174" s="3">
        <v>0.44444444444444398</v>
      </c>
      <c r="D174" s="17" t="s">
        <v>278</v>
      </c>
      <c r="E174" s="5" t="s">
        <v>279</v>
      </c>
      <c r="F174" s="6" t="s">
        <v>90</v>
      </c>
    </row>
    <row r="175" spans="1:6" ht="22.5" customHeight="1" x14ac:dyDescent="0.25">
      <c r="A175" s="1">
        <v>171</v>
      </c>
      <c r="B175" s="2">
        <v>44650</v>
      </c>
      <c r="C175" s="3">
        <v>0.44791666666666702</v>
      </c>
      <c r="D175" s="17" t="s">
        <v>280</v>
      </c>
      <c r="E175" s="5" t="s">
        <v>102</v>
      </c>
      <c r="F175" s="6" t="s">
        <v>30</v>
      </c>
    </row>
    <row r="176" spans="1:6" ht="22.5" customHeight="1" x14ac:dyDescent="0.25">
      <c r="A176" s="1">
        <v>172</v>
      </c>
      <c r="B176" s="2">
        <v>44650</v>
      </c>
      <c r="C176" s="3">
        <v>0.45138888888888901</v>
      </c>
      <c r="D176" s="17" t="s">
        <v>281</v>
      </c>
      <c r="E176" s="5" t="s">
        <v>102</v>
      </c>
      <c r="F176" s="6" t="s">
        <v>30</v>
      </c>
    </row>
    <row r="177" spans="1:6" ht="22.5" customHeight="1" x14ac:dyDescent="0.25">
      <c r="A177" s="1">
        <v>173</v>
      </c>
      <c r="B177" s="2">
        <v>44650</v>
      </c>
      <c r="C177" s="3">
        <v>0.45486111111111099</v>
      </c>
      <c r="D177" s="17" t="s">
        <v>282</v>
      </c>
      <c r="E177" s="5" t="s">
        <v>283</v>
      </c>
      <c r="F177" s="6" t="s">
        <v>284</v>
      </c>
    </row>
    <row r="178" spans="1:6" ht="22.5" customHeight="1" x14ac:dyDescent="0.25">
      <c r="A178" s="1">
        <v>174</v>
      </c>
      <c r="B178" s="2">
        <v>44650</v>
      </c>
      <c r="C178" s="3">
        <v>0.45833333333333298</v>
      </c>
      <c r="D178" s="17" t="s">
        <v>285</v>
      </c>
      <c r="E178" s="5" t="s">
        <v>286</v>
      </c>
      <c r="F178" s="6" t="s">
        <v>287</v>
      </c>
    </row>
    <row r="179" spans="1:6" ht="22.5" customHeight="1" x14ac:dyDescent="0.25">
      <c r="A179" s="1">
        <v>175</v>
      </c>
      <c r="B179" s="2">
        <v>44650</v>
      </c>
      <c r="C179" s="3">
        <v>0.46180555555555602</v>
      </c>
      <c r="D179" s="17" t="s">
        <v>288</v>
      </c>
      <c r="E179" s="20" t="s">
        <v>136</v>
      </c>
      <c r="F179" s="6" t="s">
        <v>30</v>
      </c>
    </row>
    <row r="180" spans="1:6" ht="22.5" customHeight="1" x14ac:dyDescent="0.25">
      <c r="A180" s="1">
        <v>176</v>
      </c>
      <c r="B180" s="2">
        <v>44650</v>
      </c>
      <c r="C180" s="3">
        <v>0.46527777777777801</v>
      </c>
      <c r="D180" s="17" t="s">
        <v>289</v>
      </c>
      <c r="E180" s="20" t="s">
        <v>290</v>
      </c>
      <c r="F180" s="35" t="s">
        <v>291</v>
      </c>
    </row>
    <row r="181" spans="1:6" ht="22.5" customHeight="1" x14ac:dyDescent="0.25">
      <c r="A181" s="1">
        <v>177</v>
      </c>
      <c r="B181" s="2">
        <v>44650</v>
      </c>
      <c r="C181" s="3">
        <v>0.46875</v>
      </c>
      <c r="D181" s="17" t="s">
        <v>185</v>
      </c>
      <c r="E181" s="20" t="s">
        <v>186</v>
      </c>
      <c r="F181" s="35" t="s">
        <v>20</v>
      </c>
    </row>
    <row r="182" spans="1:6" ht="22.5" customHeight="1" x14ac:dyDescent="0.25">
      <c r="A182" s="1">
        <v>178</v>
      </c>
      <c r="B182" s="2">
        <v>44657</v>
      </c>
      <c r="C182" s="3">
        <v>0.39583333333333298</v>
      </c>
      <c r="D182" s="17" t="s">
        <v>292</v>
      </c>
      <c r="E182" s="20" t="s">
        <v>293</v>
      </c>
      <c r="F182" s="35" t="s">
        <v>30</v>
      </c>
    </row>
    <row r="183" spans="1:6" ht="22.5" customHeight="1" x14ac:dyDescent="0.25">
      <c r="A183" s="1">
        <v>179</v>
      </c>
      <c r="B183" s="2">
        <v>44650</v>
      </c>
      <c r="C183" s="3">
        <v>0.47222222222222199</v>
      </c>
      <c r="D183" s="17" t="s">
        <v>294</v>
      </c>
      <c r="E183" s="20" t="s">
        <v>295</v>
      </c>
      <c r="F183" s="6" t="s">
        <v>90</v>
      </c>
    </row>
    <row r="184" spans="1:6" ht="22.5" customHeight="1" x14ac:dyDescent="0.25">
      <c r="A184" s="1">
        <v>180</v>
      </c>
      <c r="B184" s="2">
        <v>44657</v>
      </c>
      <c r="C184" s="3">
        <v>0.39930555555555602</v>
      </c>
      <c r="D184" s="17" t="s">
        <v>296</v>
      </c>
      <c r="E184" s="20" t="s">
        <v>100</v>
      </c>
      <c r="F184" s="6" t="s">
        <v>254</v>
      </c>
    </row>
    <row r="185" spans="1:6" ht="22.5" customHeight="1" x14ac:dyDescent="0.25">
      <c r="A185" s="1">
        <v>181</v>
      </c>
      <c r="B185" s="2">
        <v>44657</v>
      </c>
      <c r="C185" s="3">
        <v>0.40277777777777801</v>
      </c>
      <c r="D185" s="17" t="s">
        <v>297</v>
      </c>
      <c r="E185" s="5" t="s">
        <v>136</v>
      </c>
      <c r="F185" s="6" t="s">
        <v>30</v>
      </c>
    </row>
    <row r="186" spans="1:6" ht="22.5" customHeight="1" x14ac:dyDescent="0.25">
      <c r="A186" s="1">
        <v>182</v>
      </c>
      <c r="B186" s="2">
        <v>44657</v>
      </c>
      <c r="C186" s="3">
        <v>0.40625</v>
      </c>
      <c r="D186" s="17" t="s">
        <v>298</v>
      </c>
      <c r="E186" s="5" t="s">
        <v>299</v>
      </c>
      <c r="F186" s="6" t="s">
        <v>90</v>
      </c>
    </row>
    <row r="187" spans="1:6" ht="22.5" customHeight="1" x14ac:dyDescent="0.25">
      <c r="A187" s="1">
        <v>183</v>
      </c>
      <c r="B187" s="2">
        <v>44657</v>
      </c>
      <c r="C187" s="3">
        <v>0.40972222222222199</v>
      </c>
      <c r="D187" s="17" t="s">
        <v>300</v>
      </c>
      <c r="E187" s="5" t="s">
        <v>268</v>
      </c>
      <c r="F187" s="6" t="s">
        <v>30</v>
      </c>
    </row>
    <row r="188" spans="1:6" ht="22.5" customHeight="1" x14ac:dyDescent="0.25">
      <c r="A188" s="1">
        <v>184</v>
      </c>
      <c r="B188" s="2">
        <v>44657</v>
      </c>
      <c r="C188" s="3">
        <v>0.41319444444444398</v>
      </c>
      <c r="D188" s="17" t="s">
        <v>301</v>
      </c>
      <c r="E188" s="5" t="s">
        <v>102</v>
      </c>
      <c r="F188" s="6" t="s">
        <v>30</v>
      </c>
    </row>
    <row r="189" spans="1:6" ht="22.5" customHeight="1" x14ac:dyDescent="0.25">
      <c r="A189" s="1">
        <v>185</v>
      </c>
      <c r="B189" s="2">
        <v>44657</v>
      </c>
      <c r="C189" s="3">
        <v>0.41666666666666702</v>
      </c>
      <c r="D189" s="17" t="s">
        <v>302</v>
      </c>
      <c r="E189" s="20" t="s">
        <v>268</v>
      </c>
      <c r="F189" s="6" t="s">
        <v>30</v>
      </c>
    </row>
    <row r="190" spans="1:6" ht="22.5" customHeight="1" x14ac:dyDescent="0.25">
      <c r="A190" s="1">
        <v>186</v>
      </c>
      <c r="B190" s="2">
        <v>44657</v>
      </c>
      <c r="C190" s="3">
        <v>0.42013888888888901</v>
      </c>
      <c r="D190" s="17" t="s">
        <v>303</v>
      </c>
      <c r="E190" s="20" t="s">
        <v>304</v>
      </c>
      <c r="F190" s="6" t="s">
        <v>20</v>
      </c>
    </row>
    <row r="191" spans="1:6" ht="22.5" customHeight="1" x14ac:dyDescent="0.25">
      <c r="A191" s="1">
        <v>187</v>
      </c>
      <c r="B191" s="2">
        <v>44657</v>
      </c>
      <c r="C191" s="3">
        <v>0.42361111111111099</v>
      </c>
      <c r="D191" s="17" t="s">
        <v>129</v>
      </c>
      <c r="E191" s="5" t="s">
        <v>38</v>
      </c>
      <c r="F191" s="6" t="s">
        <v>90</v>
      </c>
    </row>
    <row r="192" spans="1:6" ht="22.5" customHeight="1" x14ac:dyDescent="0.25">
      <c r="A192" s="1">
        <v>188</v>
      </c>
      <c r="B192" s="2">
        <v>44671</v>
      </c>
      <c r="C192" s="3">
        <v>0.39930555555555602</v>
      </c>
      <c r="D192" s="17" t="s">
        <v>305</v>
      </c>
      <c r="E192" s="5" t="s">
        <v>306</v>
      </c>
      <c r="F192" s="6" t="s">
        <v>307</v>
      </c>
    </row>
    <row r="193" spans="1:64" ht="22.5" customHeight="1" x14ac:dyDescent="0.25">
      <c r="A193" s="1">
        <v>189</v>
      </c>
      <c r="B193" s="2">
        <v>44671</v>
      </c>
      <c r="C193" s="3">
        <v>0.40277777777777801</v>
      </c>
      <c r="D193" s="17" t="s">
        <v>308</v>
      </c>
      <c r="E193" s="5" t="s">
        <v>306</v>
      </c>
      <c r="F193" s="6" t="s">
        <v>307</v>
      </c>
    </row>
    <row r="194" spans="1:64" ht="22.5" customHeight="1" x14ac:dyDescent="0.25">
      <c r="A194" s="1">
        <v>190</v>
      </c>
      <c r="B194" s="2">
        <v>44657</v>
      </c>
      <c r="C194" s="3">
        <v>0.43402777777777801</v>
      </c>
      <c r="D194" s="17" t="s">
        <v>309</v>
      </c>
      <c r="E194" s="5" t="s">
        <v>310</v>
      </c>
      <c r="F194" s="6" t="s">
        <v>20</v>
      </c>
    </row>
    <row r="195" spans="1:64" ht="22.5" customHeight="1" x14ac:dyDescent="0.25">
      <c r="A195" s="1">
        <v>191</v>
      </c>
      <c r="B195" s="2">
        <v>44657</v>
      </c>
      <c r="C195" s="3">
        <v>0.4375</v>
      </c>
      <c r="D195" s="17" t="s">
        <v>311</v>
      </c>
      <c r="E195" s="5" t="s">
        <v>38</v>
      </c>
      <c r="F195" s="6" t="s">
        <v>88</v>
      </c>
    </row>
    <row r="196" spans="1:64" ht="32.25" customHeight="1" x14ac:dyDescent="0.25">
      <c r="A196" s="31">
        <v>192</v>
      </c>
      <c r="B196" s="32">
        <v>44657</v>
      </c>
      <c r="C196" s="33">
        <v>0.44097222222222199</v>
      </c>
      <c r="D196" s="16" t="s">
        <v>312</v>
      </c>
      <c r="E196" s="13" t="s">
        <v>107</v>
      </c>
      <c r="F196" s="13" t="s">
        <v>30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</row>
    <row r="197" spans="1:64" ht="22.5" customHeight="1" x14ac:dyDescent="0.25">
      <c r="A197" s="1">
        <v>193</v>
      </c>
      <c r="B197" s="2">
        <v>44657</v>
      </c>
      <c r="C197" s="3">
        <v>0.44444444444444398</v>
      </c>
      <c r="D197" s="17" t="s">
        <v>313</v>
      </c>
      <c r="E197" s="5" t="s">
        <v>314</v>
      </c>
      <c r="F197" s="6" t="s">
        <v>88</v>
      </c>
    </row>
    <row r="198" spans="1:64" ht="22.5" customHeight="1" x14ac:dyDescent="0.25">
      <c r="A198" s="1">
        <v>194</v>
      </c>
      <c r="B198" s="2">
        <v>44657</v>
      </c>
      <c r="C198" s="3">
        <v>0.44791666666666702</v>
      </c>
      <c r="D198" s="17" t="s">
        <v>315</v>
      </c>
      <c r="E198" s="5" t="s">
        <v>316</v>
      </c>
      <c r="F198" s="6" t="s">
        <v>317</v>
      </c>
    </row>
    <row r="199" spans="1:64" ht="22.5" customHeight="1" x14ac:dyDescent="0.25">
      <c r="A199" s="1">
        <v>195</v>
      </c>
      <c r="B199" s="2">
        <v>44657</v>
      </c>
      <c r="C199" s="3">
        <v>0.45138888888888901</v>
      </c>
      <c r="D199" s="17" t="s">
        <v>318</v>
      </c>
      <c r="E199" s="5" t="s">
        <v>316</v>
      </c>
      <c r="F199" s="6" t="s">
        <v>317</v>
      </c>
    </row>
    <row r="200" spans="1:64" ht="22.5" customHeight="1" x14ac:dyDescent="0.25">
      <c r="A200" s="1">
        <v>196</v>
      </c>
      <c r="B200" s="2">
        <v>44657</v>
      </c>
      <c r="C200" s="3">
        <v>0.45486111111111099</v>
      </c>
      <c r="D200" s="17" t="s">
        <v>319</v>
      </c>
      <c r="E200" s="5" t="s">
        <v>316</v>
      </c>
      <c r="F200" s="6" t="s">
        <v>317</v>
      </c>
    </row>
    <row r="201" spans="1:64" ht="22.5" customHeight="1" x14ac:dyDescent="0.25">
      <c r="A201" s="1">
        <v>197</v>
      </c>
      <c r="B201" s="2">
        <v>44657</v>
      </c>
      <c r="C201" s="3">
        <v>0.45833333333333298</v>
      </c>
      <c r="D201" s="17" t="s">
        <v>320</v>
      </c>
      <c r="E201" s="5" t="s">
        <v>321</v>
      </c>
      <c r="F201" s="6" t="s">
        <v>90</v>
      </c>
    </row>
    <row r="202" spans="1:64" ht="22.5" customHeight="1" x14ac:dyDescent="0.25">
      <c r="A202" s="1">
        <v>198</v>
      </c>
      <c r="B202" s="2">
        <v>44657</v>
      </c>
      <c r="C202" s="3">
        <v>0.46180555555555602</v>
      </c>
      <c r="D202" s="17" t="s">
        <v>322</v>
      </c>
      <c r="E202" s="5" t="s">
        <v>323</v>
      </c>
      <c r="F202" s="6" t="s">
        <v>20</v>
      </c>
    </row>
    <row r="203" spans="1:64" ht="22.5" customHeight="1" x14ac:dyDescent="0.25">
      <c r="A203" s="1">
        <v>199</v>
      </c>
      <c r="B203" s="2">
        <v>44657</v>
      </c>
      <c r="C203" s="3">
        <v>0.46527777777777801</v>
      </c>
      <c r="D203" s="17" t="s">
        <v>324</v>
      </c>
      <c r="E203" s="5" t="s">
        <v>325</v>
      </c>
      <c r="F203" s="6" t="s">
        <v>326</v>
      </c>
    </row>
    <row r="204" spans="1:64" ht="22.5" customHeight="1" x14ac:dyDescent="0.25">
      <c r="A204" s="1">
        <v>200</v>
      </c>
      <c r="B204" s="2">
        <v>44657</v>
      </c>
      <c r="C204" s="3">
        <v>0.46875</v>
      </c>
      <c r="D204" s="17" t="s">
        <v>327</v>
      </c>
      <c r="E204" s="5" t="s">
        <v>325</v>
      </c>
      <c r="F204" s="6" t="s">
        <v>326</v>
      </c>
    </row>
    <row r="205" spans="1:64" ht="22.5" customHeight="1" x14ac:dyDescent="0.25">
      <c r="A205" s="1">
        <v>201</v>
      </c>
      <c r="B205" s="2">
        <v>44657</v>
      </c>
      <c r="C205" s="3">
        <v>0.47222222222222199</v>
      </c>
      <c r="D205" s="17" t="s">
        <v>328</v>
      </c>
      <c r="E205" s="5" t="s">
        <v>325</v>
      </c>
      <c r="F205" s="6" t="s">
        <v>326</v>
      </c>
    </row>
    <row r="206" spans="1:64" ht="22.5" customHeight="1" x14ac:dyDescent="0.25">
      <c r="A206" s="1">
        <v>202</v>
      </c>
      <c r="B206" s="2">
        <v>44657</v>
      </c>
      <c r="C206" s="3">
        <v>0.47569444444444398</v>
      </c>
      <c r="D206" s="17" t="s">
        <v>329</v>
      </c>
      <c r="E206" s="5" t="s">
        <v>330</v>
      </c>
      <c r="F206" s="6" t="s">
        <v>331</v>
      </c>
    </row>
    <row r="207" spans="1:64" ht="22.5" customHeight="1" x14ac:dyDescent="0.25">
      <c r="A207" s="1">
        <v>203</v>
      </c>
      <c r="B207" s="2">
        <v>44671</v>
      </c>
      <c r="C207" s="3">
        <v>0.39583333333333298</v>
      </c>
      <c r="D207" s="17" t="s">
        <v>332</v>
      </c>
      <c r="E207" s="5" t="s">
        <v>333</v>
      </c>
      <c r="F207" s="6" t="s">
        <v>334</v>
      </c>
    </row>
    <row r="208" spans="1:64" ht="22.5" customHeight="1" x14ac:dyDescent="0.25">
      <c r="A208" s="1">
        <v>204</v>
      </c>
      <c r="B208" s="2">
        <v>44671</v>
      </c>
      <c r="C208" s="3">
        <v>0.40625</v>
      </c>
      <c r="D208" s="17" t="s">
        <v>335</v>
      </c>
      <c r="E208" s="5" t="s">
        <v>325</v>
      </c>
      <c r="F208" s="6" t="s">
        <v>326</v>
      </c>
    </row>
    <row r="209" spans="1:7" ht="22.5" customHeight="1" x14ac:dyDescent="0.25">
      <c r="A209" s="24" t="s">
        <v>336</v>
      </c>
      <c r="B209" s="25">
        <v>44655</v>
      </c>
      <c r="C209" s="26">
        <v>0.39583333333333298</v>
      </c>
      <c r="D209" s="27" t="s">
        <v>337</v>
      </c>
      <c r="E209" s="28" t="s">
        <v>169</v>
      </c>
      <c r="F209" s="29" t="s">
        <v>338</v>
      </c>
    </row>
    <row r="210" spans="1:7" ht="22.5" customHeight="1" x14ac:dyDescent="0.25">
      <c r="A210" s="1">
        <v>205</v>
      </c>
      <c r="B210" s="2">
        <v>44671</v>
      </c>
      <c r="C210" s="3">
        <v>0.40972222222222199</v>
      </c>
      <c r="D210" s="17" t="s">
        <v>339</v>
      </c>
      <c r="E210" s="5" t="s">
        <v>169</v>
      </c>
      <c r="F210" s="6" t="s">
        <v>326</v>
      </c>
    </row>
    <row r="211" spans="1:7" ht="22.5" customHeight="1" x14ac:dyDescent="0.25">
      <c r="A211" s="1">
        <v>206</v>
      </c>
      <c r="B211" s="2">
        <v>44671</v>
      </c>
      <c r="C211" s="3">
        <v>0.41319444444444398</v>
      </c>
      <c r="D211" s="17" t="s">
        <v>340</v>
      </c>
      <c r="E211" s="5" t="s">
        <v>92</v>
      </c>
      <c r="F211" s="6" t="s">
        <v>30</v>
      </c>
    </row>
    <row r="212" spans="1:7" ht="22.5" customHeight="1" x14ac:dyDescent="0.25">
      <c r="A212" s="1">
        <v>207</v>
      </c>
      <c r="B212" s="2">
        <v>44671</v>
      </c>
      <c r="C212" s="3">
        <v>0.41666666666666702</v>
      </c>
      <c r="D212" s="17" t="s">
        <v>341</v>
      </c>
      <c r="E212" s="5" t="s">
        <v>268</v>
      </c>
      <c r="F212" s="6" t="s">
        <v>30</v>
      </c>
      <c r="G212" s="6" t="s">
        <v>59</v>
      </c>
    </row>
    <row r="213" spans="1:7" ht="22.5" customHeight="1" x14ac:dyDescent="0.25">
      <c r="A213" s="1">
        <v>208</v>
      </c>
      <c r="B213" s="2">
        <v>44671</v>
      </c>
      <c r="C213" s="3">
        <v>0.42013888888888901</v>
      </c>
      <c r="D213" s="17" t="s">
        <v>342</v>
      </c>
      <c r="E213" s="22" t="s">
        <v>277</v>
      </c>
      <c r="F213" s="6" t="s">
        <v>25</v>
      </c>
    </row>
    <row r="214" spans="1:7" ht="22.5" customHeight="1" x14ac:dyDescent="0.25">
      <c r="A214" s="1">
        <v>209</v>
      </c>
      <c r="B214" s="2">
        <v>44671</v>
      </c>
      <c r="C214" s="3">
        <v>0.42361111111111099</v>
      </c>
      <c r="D214" s="17" t="s">
        <v>343</v>
      </c>
      <c r="E214" s="22" t="s">
        <v>344</v>
      </c>
      <c r="F214" s="6" t="s">
        <v>20</v>
      </c>
    </row>
    <row r="215" spans="1:7" ht="22.5" customHeight="1" x14ac:dyDescent="0.25">
      <c r="A215" s="1">
        <v>210</v>
      </c>
      <c r="B215" s="2">
        <v>44671</v>
      </c>
      <c r="C215" s="3">
        <v>0.42708333333333298</v>
      </c>
      <c r="D215" s="17" t="s">
        <v>345</v>
      </c>
      <c r="E215" s="5" t="s">
        <v>346</v>
      </c>
      <c r="F215" s="6" t="s">
        <v>347</v>
      </c>
    </row>
    <row r="216" spans="1:7" ht="22.5" customHeight="1" x14ac:dyDescent="0.25">
      <c r="A216" s="1">
        <v>211</v>
      </c>
      <c r="B216" s="2">
        <v>44671</v>
      </c>
      <c r="C216" s="3">
        <v>0.43055555555555602</v>
      </c>
      <c r="D216" s="17" t="s">
        <v>348</v>
      </c>
      <c r="E216" s="5" t="s">
        <v>349</v>
      </c>
      <c r="F216" s="6" t="s">
        <v>350</v>
      </c>
    </row>
    <row r="217" spans="1:7" ht="22.5" customHeight="1" x14ac:dyDescent="0.25">
      <c r="A217" s="1">
        <v>212</v>
      </c>
      <c r="B217" s="2">
        <v>44671</v>
      </c>
      <c r="C217" s="3">
        <v>0.43402777777777801</v>
      </c>
      <c r="D217" s="17" t="s">
        <v>121</v>
      </c>
      <c r="E217" s="5" t="s">
        <v>268</v>
      </c>
      <c r="F217" s="6" t="s">
        <v>30</v>
      </c>
    </row>
    <row r="218" spans="1:7" ht="22.5" customHeight="1" x14ac:dyDescent="0.25">
      <c r="A218" s="1">
        <v>213</v>
      </c>
      <c r="B218" s="2">
        <v>44671</v>
      </c>
      <c r="C218" s="3">
        <v>0.4375</v>
      </c>
      <c r="D218" s="17" t="s">
        <v>121</v>
      </c>
      <c r="E218" s="5" t="s">
        <v>268</v>
      </c>
      <c r="F218" s="6" t="s">
        <v>351</v>
      </c>
    </row>
    <row r="219" spans="1:7" ht="22.5" customHeight="1" x14ac:dyDescent="0.25">
      <c r="A219" s="1">
        <v>214</v>
      </c>
      <c r="B219" s="2">
        <v>44671</v>
      </c>
      <c r="C219" s="3">
        <v>0.44097222222222199</v>
      </c>
      <c r="D219" s="17" t="s">
        <v>121</v>
      </c>
      <c r="E219" s="5" t="s">
        <v>268</v>
      </c>
      <c r="F219" s="6" t="s">
        <v>352</v>
      </c>
    </row>
    <row r="220" spans="1:7" ht="22.5" customHeight="1" x14ac:dyDescent="0.25">
      <c r="A220" s="1">
        <v>215</v>
      </c>
      <c r="B220" s="2">
        <v>44671</v>
      </c>
      <c r="C220" s="3">
        <v>0.44444444444444398</v>
      </c>
      <c r="D220" s="17" t="s">
        <v>121</v>
      </c>
      <c r="E220" s="5" t="s">
        <v>268</v>
      </c>
      <c r="F220" s="6" t="s">
        <v>353</v>
      </c>
    </row>
    <row r="221" spans="1:7" ht="22.5" customHeight="1" x14ac:dyDescent="0.25">
      <c r="A221" s="1">
        <v>216</v>
      </c>
      <c r="B221" s="2">
        <v>44671</v>
      </c>
      <c r="C221" s="3">
        <v>0.44791666666666702</v>
      </c>
      <c r="D221" s="17" t="s">
        <v>354</v>
      </c>
      <c r="E221" s="5" t="s">
        <v>38</v>
      </c>
      <c r="F221" s="6" t="s">
        <v>355</v>
      </c>
    </row>
    <row r="222" spans="1:7" ht="22.5" customHeight="1" x14ac:dyDescent="0.25">
      <c r="A222" s="1">
        <v>217</v>
      </c>
      <c r="B222" s="2">
        <v>44671</v>
      </c>
      <c r="C222" s="3">
        <v>0.45138888888888901</v>
      </c>
      <c r="D222" s="17" t="s">
        <v>356</v>
      </c>
      <c r="E222" s="5" t="s">
        <v>357</v>
      </c>
      <c r="F222" s="6" t="s">
        <v>90</v>
      </c>
    </row>
    <row r="223" spans="1:7" ht="22.5" customHeight="1" x14ac:dyDescent="0.25">
      <c r="A223" s="1">
        <v>218</v>
      </c>
      <c r="B223" s="2">
        <v>44671</v>
      </c>
      <c r="C223" s="3">
        <v>0.45486111111111099</v>
      </c>
      <c r="D223" s="17" t="s">
        <v>358</v>
      </c>
      <c r="E223" s="5" t="s">
        <v>357</v>
      </c>
      <c r="F223" s="6" t="s">
        <v>90</v>
      </c>
    </row>
    <row r="224" spans="1:7" ht="22.5" customHeight="1" x14ac:dyDescent="0.25">
      <c r="A224" s="1">
        <v>219</v>
      </c>
      <c r="B224" s="2">
        <v>44671</v>
      </c>
      <c r="C224" s="3">
        <v>0.45833333333333298</v>
      </c>
      <c r="D224" s="17" t="s">
        <v>359</v>
      </c>
      <c r="E224" s="5" t="s">
        <v>360</v>
      </c>
      <c r="F224" s="6" t="s">
        <v>317</v>
      </c>
    </row>
    <row r="225" spans="1:64" ht="22.5" customHeight="1" x14ac:dyDescent="0.25">
      <c r="A225" s="1">
        <v>220</v>
      </c>
      <c r="B225" s="2">
        <v>44671</v>
      </c>
      <c r="C225" s="3">
        <v>0.46180555555555602</v>
      </c>
      <c r="D225" s="17" t="s">
        <v>361</v>
      </c>
      <c r="E225" s="5" t="s">
        <v>362</v>
      </c>
      <c r="F225" s="6" t="s">
        <v>25</v>
      </c>
    </row>
    <row r="226" spans="1:64" ht="22.5" customHeight="1" x14ac:dyDescent="0.25">
      <c r="A226" s="1">
        <v>221</v>
      </c>
      <c r="B226" s="2">
        <v>44671</v>
      </c>
      <c r="C226" s="3">
        <v>0.46527777777777801</v>
      </c>
      <c r="D226" s="17" t="s">
        <v>363</v>
      </c>
      <c r="E226" s="5" t="s">
        <v>364</v>
      </c>
      <c r="F226" s="6" t="s">
        <v>30</v>
      </c>
    </row>
    <row r="227" spans="1:64" ht="22.5" customHeight="1" x14ac:dyDescent="0.25">
      <c r="A227" s="1">
        <v>222</v>
      </c>
      <c r="B227" s="2">
        <v>44678</v>
      </c>
      <c r="C227" s="3">
        <v>0.39583333333333298</v>
      </c>
      <c r="D227" s="17" t="s">
        <v>365</v>
      </c>
      <c r="E227" s="5" t="s">
        <v>366</v>
      </c>
      <c r="F227" s="6" t="s">
        <v>25</v>
      </c>
    </row>
    <row r="228" spans="1:64" ht="22.5" customHeight="1" x14ac:dyDescent="0.25">
      <c r="A228" s="1">
        <v>223</v>
      </c>
      <c r="B228" s="2">
        <v>44678</v>
      </c>
      <c r="C228" s="3">
        <v>0.39930555555555602</v>
      </c>
      <c r="D228" s="17" t="s">
        <v>367</v>
      </c>
      <c r="E228" s="5" t="s">
        <v>368</v>
      </c>
      <c r="F228" s="6" t="s">
        <v>326</v>
      </c>
    </row>
    <row r="229" spans="1:64" ht="22.5" customHeight="1" x14ac:dyDescent="0.25">
      <c r="A229" s="1">
        <v>224</v>
      </c>
      <c r="B229" s="2">
        <v>44678</v>
      </c>
      <c r="C229" s="3">
        <v>0.40277777777777801</v>
      </c>
      <c r="D229" s="17" t="s">
        <v>367</v>
      </c>
      <c r="E229" s="5" t="s">
        <v>368</v>
      </c>
      <c r="F229" s="6" t="s">
        <v>369</v>
      </c>
    </row>
    <row r="230" spans="1:64" ht="22.5" customHeight="1" x14ac:dyDescent="0.25">
      <c r="A230" s="1">
        <v>225</v>
      </c>
      <c r="B230" s="2">
        <v>44678</v>
      </c>
      <c r="C230" s="3">
        <v>0.40625</v>
      </c>
      <c r="D230" s="17" t="s">
        <v>370</v>
      </c>
      <c r="E230" s="5" t="s">
        <v>371</v>
      </c>
      <c r="F230" s="6" t="s">
        <v>25</v>
      </c>
    </row>
    <row r="231" spans="1:64" ht="21.75" customHeight="1" x14ac:dyDescent="0.25">
      <c r="A231" s="1">
        <v>226</v>
      </c>
      <c r="B231" s="2">
        <v>44678</v>
      </c>
      <c r="C231" s="3">
        <v>0.40972222222222199</v>
      </c>
      <c r="D231" s="16" t="s">
        <v>372</v>
      </c>
      <c r="E231" s="13" t="s">
        <v>65</v>
      </c>
      <c r="F231" s="13" t="s">
        <v>30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</row>
    <row r="232" spans="1:64" ht="22.5" customHeight="1" x14ac:dyDescent="0.25">
      <c r="A232" s="1">
        <v>227</v>
      </c>
      <c r="B232" s="2">
        <v>44678</v>
      </c>
      <c r="C232" s="3">
        <v>0.41319444444444398</v>
      </c>
      <c r="D232" s="17" t="s">
        <v>373</v>
      </c>
      <c r="E232" s="5" t="s">
        <v>374</v>
      </c>
      <c r="F232" s="6" t="s">
        <v>20</v>
      </c>
    </row>
    <row r="233" spans="1:64" ht="22.5" customHeight="1" x14ac:dyDescent="0.25">
      <c r="A233" s="1">
        <v>228</v>
      </c>
      <c r="B233" s="2">
        <v>44678</v>
      </c>
      <c r="C233" s="3">
        <v>0.41666666666666702</v>
      </c>
      <c r="D233" s="17" t="s">
        <v>375</v>
      </c>
      <c r="E233" s="5" t="s">
        <v>376</v>
      </c>
      <c r="F233" s="6" t="s">
        <v>30</v>
      </c>
    </row>
    <row r="234" spans="1:64" ht="22.5" customHeight="1" x14ac:dyDescent="0.25">
      <c r="A234" s="1">
        <v>229</v>
      </c>
      <c r="B234" s="2">
        <v>44678</v>
      </c>
      <c r="C234" s="3">
        <v>0.42013888888888901</v>
      </c>
      <c r="D234" s="17" t="s">
        <v>377</v>
      </c>
      <c r="E234" s="5" t="s">
        <v>378</v>
      </c>
      <c r="F234" s="6" t="s">
        <v>379</v>
      </c>
    </row>
    <row r="235" spans="1:64" ht="22.5" customHeight="1" x14ac:dyDescent="0.25">
      <c r="A235" s="1">
        <v>230</v>
      </c>
      <c r="B235" s="2">
        <v>44678</v>
      </c>
      <c r="C235" s="3">
        <v>0.42361111111111099</v>
      </c>
      <c r="D235" s="17" t="s">
        <v>380</v>
      </c>
      <c r="E235" s="5" t="s">
        <v>268</v>
      </c>
      <c r="F235" s="6" t="s">
        <v>88</v>
      </c>
    </row>
    <row r="236" spans="1:64" ht="22.5" customHeight="1" x14ac:dyDescent="0.25">
      <c r="A236" s="1">
        <v>231</v>
      </c>
      <c r="B236" s="2">
        <v>44678</v>
      </c>
      <c r="C236" s="3">
        <v>0.42708333333333298</v>
      </c>
      <c r="D236" s="17" t="s">
        <v>381</v>
      </c>
      <c r="E236" s="5" t="s">
        <v>382</v>
      </c>
      <c r="F236" s="6" t="s">
        <v>20</v>
      </c>
    </row>
    <row r="237" spans="1:64" ht="22.5" customHeight="1" x14ac:dyDescent="0.25">
      <c r="A237" s="1">
        <v>232</v>
      </c>
      <c r="B237" s="2">
        <v>44678</v>
      </c>
      <c r="C237" s="3">
        <v>0.43055555555555602</v>
      </c>
      <c r="D237" s="17" t="s">
        <v>383</v>
      </c>
      <c r="E237" s="5" t="s">
        <v>382</v>
      </c>
      <c r="F237" s="6" t="s">
        <v>20</v>
      </c>
    </row>
    <row r="238" spans="1:64" ht="22.5" customHeight="1" x14ac:dyDescent="0.25">
      <c r="A238" s="1">
        <v>233</v>
      </c>
      <c r="B238" s="2">
        <v>44685</v>
      </c>
      <c r="C238" s="3">
        <v>0.39583333333333298</v>
      </c>
      <c r="D238" s="17" t="s">
        <v>384</v>
      </c>
      <c r="E238" s="5" t="s">
        <v>385</v>
      </c>
      <c r="F238" s="6" t="s">
        <v>25</v>
      </c>
    </row>
    <row r="239" spans="1:64" ht="22.5" customHeight="1" x14ac:dyDescent="0.25">
      <c r="A239" s="1">
        <v>234</v>
      </c>
      <c r="B239" s="2">
        <v>44685</v>
      </c>
      <c r="C239" s="3">
        <v>0.39930555555555602</v>
      </c>
      <c r="D239" s="17" t="s">
        <v>250</v>
      </c>
      <c r="E239" s="5" t="s">
        <v>157</v>
      </c>
      <c r="F239" s="6" t="s">
        <v>158</v>
      </c>
    </row>
    <row r="240" spans="1:64" ht="22.5" customHeight="1" x14ac:dyDescent="0.25">
      <c r="A240" s="1">
        <v>235</v>
      </c>
      <c r="B240" s="2">
        <v>44685</v>
      </c>
      <c r="C240" s="3">
        <v>0.40277777777777801</v>
      </c>
      <c r="D240" s="17" t="s">
        <v>142</v>
      </c>
      <c r="E240" s="5" t="s">
        <v>386</v>
      </c>
      <c r="F240" s="6" t="s">
        <v>25</v>
      </c>
    </row>
    <row r="241" spans="1:6" ht="22.5" customHeight="1" x14ac:dyDescent="0.25">
      <c r="A241" s="1">
        <v>236</v>
      </c>
      <c r="B241" s="2">
        <v>44685</v>
      </c>
      <c r="C241" s="3">
        <v>0.40625</v>
      </c>
      <c r="D241" s="17" t="s">
        <v>387</v>
      </c>
      <c r="E241" s="5" t="s">
        <v>388</v>
      </c>
      <c r="F241" s="6" t="s">
        <v>39</v>
      </c>
    </row>
    <row r="242" spans="1:6" ht="22.5" customHeight="1" x14ac:dyDescent="0.25">
      <c r="A242" s="24" t="s">
        <v>389</v>
      </c>
      <c r="B242" s="25">
        <v>44676</v>
      </c>
      <c r="C242" s="26">
        <v>0.4375</v>
      </c>
      <c r="D242" s="27" t="s">
        <v>337</v>
      </c>
      <c r="E242" s="28" t="s">
        <v>169</v>
      </c>
      <c r="F242" s="29" t="s">
        <v>390</v>
      </c>
    </row>
    <row r="243" spans="1:6" ht="22.5" customHeight="1" x14ac:dyDescent="0.25">
      <c r="A243" s="1">
        <v>237</v>
      </c>
      <c r="B243" s="2">
        <v>44685</v>
      </c>
      <c r="C243" s="3">
        <v>0.375</v>
      </c>
      <c r="D243" s="17" t="s">
        <v>391</v>
      </c>
      <c r="E243" s="5" t="s">
        <v>295</v>
      </c>
      <c r="F243" s="6" t="s">
        <v>392</v>
      </c>
    </row>
    <row r="244" spans="1:6" ht="22.5" customHeight="1" x14ac:dyDescent="0.25">
      <c r="A244" s="1">
        <v>238</v>
      </c>
      <c r="B244" s="2">
        <v>44692</v>
      </c>
      <c r="C244" s="3">
        <v>0.39583333333333298</v>
      </c>
      <c r="D244" s="17" t="s">
        <v>393</v>
      </c>
      <c r="E244" s="5" t="s">
        <v>371</v>
      </c>
      <c r="F244" s="6" t="s">
        <v>90</v>
      </c>
    </row>
    <row r="245" spans="1:6" ht="22.5" customHeight="1" x14ac:dyDescent="0.25">
      <c r="A245" s="1">
        <v>239</v>
      </c>
      <c r="B245" s="2">
        <v>44692</v>
      </c>
      <c r="C245" s="3">
        <v>0.39930555555555602</v>
      </c>
      <c r="D245" s="17" t="s">
        <v>394</v>
      </c>
      <c r="E245" s="5" t="s">
        <v>232</v>
      </c>
      <c r="F245" s="6" t="s">
        <v>395</v>
      </c>
    </row>
    <row r="246" spans="1:6" ht="22.5" customHeight="1" x14ac:dyDescent="0.25">
      <c r="A246" s="1">
        <v>240</v>
      </c>
      <c r="B246" s="2">
        <v>44692</v>
      </c>
      <c r="C246" s="3">
        <v>0.40277777777777801</v>
      </c>
      <c r="D246" s="17" t="s">
        <v>396</v>
      </c>
      <c r="E246" s="5" t="s">
        <v>295</v>
      </c>
      <c r="F246" s="6" t="s">
        <v>397</v>
      </c>
    </row>
    <row r="247" spans="1:6" ht="22.5" customHeight="1" x14ac:dyDescent="0.25">
      <c r="A247" s="24" t="s">
        <v>398</v>
      </c>
      <c r="B247" s="25">
        <v>44685</v>
      </c>
      <c r="C247" s="26">
        <v>0.37847222222222199</v>
      </c>
      <c r="D247" s="27" t="s">
        <v>399</v>
      </c>
      <c r="E247" s="28" t="s">
        <v>268</v>
      </c>
      <c r="F247" s="29" t="s">
        <v>400</v>
      </c>
    </row>
    <row r="248" spans="1:6" ht="22.5" customHeight="1" x14ac:dyDescent="0.25">
      <c r="A248" s="1">
        <v>241</v>
      </c>
      <c r="B248" s="2">
        <v>44692</v>
      </c>
      <c r="C248" s="3">
        <v>0.40625</v>
      </c>
      <c r="D248" s="17" t="s">
        <v>401</v>
      </c>
      <c r="E248" s="5" t="s">
        <v>371</v>
      </c>
      <c r="F248" s="6" t="s">
        <v>90</v>
      </c>
    </row>
    <row r="249" spans="1:6" ht="22.5" customHeight="1" x14ac:dyDescent="0.25">
      <c r="A249" s="1">
        <v>242</v>
      </c>
      <c r="B249" s="2">
        <v>44692</v>
      </c>
      <c r="C249" s="3">
        <v>0.40972222222222199</v>
      </c>
      <c r="D249" s="17" t="s">
        <v>402</v>
      </c>
      <c r="E249" s="5" t="s">
        <v>403</v>
      </c>
      <c r="F249" s="6" t="s">
        <v>20</v>
      </c>
    </row>
    <row r="250" spans="1:6" ht="22.5" customHeight="1" x14ac:dyDescent="0.25">
      <c r="A250" s="1">
        <v>243</v>
      </c>
      <c r="B250" s="2">
        <v>44692</v>
      </c>
      <c r="C250" s="3">
        <v>0.41319444444444398</v>
      </c>
      <c r="D250" s="17" t="s">
        <v>404</v>
      </c>
      <c r="E250" s="5" t="s">
        <v>268</v>
      </c>
      <c r="F250" s="6" t="s">
        <v>30</v>
      </c>
    </row>
    <row r="251" spans="1:6" ht="22.5" customHeight="1" x14ac:dyDescent="0.25">
      <c r="A251" s="1">
        <v>244</v>
      </c>
      <c r="B251" s="2">
        <v>44692</v>
      </c>
      <c r="C251" s="3">
        <v>0.41666666666666702</v>
      </c>
      <c r="D251" s="17" t="s">
        <v>405</v>
      </c>
      <c r="E251" s="5" t="s">
        <v>38</v>
      </c>
      <c r="F251" s="6" t="s">
        <v>30</v>
      </c>
    </row>
    <row r="252" spans="1:6" ht="22.5" customHeight="1" x14ac:dyDescent="0.25">
      <c r="A252" s="1">
        <v>245</v>
      </c>
      <c r="B252" s="2">
        <v>44692</v>
      </c>
      <c r="C252" s="3">
        <v>0.42013888888888901</v>
      </c>
      <c r="D252" s="17" t="s">
        <v>406</v>
      </c>
      <c r="E252" s="5" t="s">
        <v>100</v>
      </c>
      <c r="F252" s="6" t="s">
        <v>407</v>
      </c>
    </row>
    <row r="253" spans="1:6" ht="22.5" customHeight="1" x14ac:dyDescent="0.25">
      <c r="A253" s="1">
        <v>246</v>
      </c>
      <c r="B253" s="2">
        <v>44692</v>
      </c>
      <c r="C253" s="3">
        <v>0.42361111111111099</v>
      </c>
      <c r="D253" s="17" t="s">
        <v>408</v>
      </c>
      <c r="E253" s="5" t="s">
        <v>100</v>
      </c>
      <c r="F253" s="6" t="s">
        <v>407</v>
      </c>
    </row>
    <row r="254" spans="1:6" ht="22.5" customHeight="1" x14ac:dyDescent="0.25">
      <c r="A254" s="1">
        <v>247</v>
      </c>
      <c r="B254" s="2">
        <v>44692</v>
      </c>
      <c r="C254" s="3">
        <v>0.42708333333333298</v>
      </c>
      <c r="D254" s="17" t="s">
        <v>348</v>
      </c>
      <c r="E254" s="5" t="s">
        <v>349</v>
      </c>
      <c r="F254" s="6" t="s">
        <v>42</v>
      </c>
    </row>
    <row r="255" spans="1:6" ht="22.5" customHeight="1" x14ac:dyDescent="0.25">
      <c r="A255" s="1">
        <v>248</v>
      </c>
      <c r="B255" s="2">
        <v>44692</v>
      </c>
      <c r="C255" s="3">
        <v>0.43055555555555602</v>
      </c>
      <c r="D255" s="17" t="s">
        <v>409</v>
      </c>
      <c r="E255" s="5" t="s">
        <v>410</v>
      </c>
      <c r="F255" s="6" t="s">
        <v>411</v>
      </c>
    </row>
    <row r="256" spans="1:6" ht="22.5" customHeight="1" x14ac:dyDescent="0.25">
      <c r="A256" s="1">
        <v>249</v>
      </c>
      <c r="B256" s="2">
        <v>44692</v>
      </c>
      <c r="C256" s="3">
        <v>0.43402777777777801</v>
      </c>
      <c r="D256" s="17" t="s">
        <v>412</v>
      </c>
      <c r="E256" s="5" t="s">
        <v>410</v>
      </c>
      <c r="F256" s="6" t="s">
        <v>411</v>
      </c>
    </row>
    <row r="257" spans="1:6" ht="22.5" customHeight="1" x14ac:dyDescent="0.25">
      <c r="A257" s="1">
        <v>250</v>
      </c>
      <c r="B257" s="2">
        <v>44692</v>
      </c>
      <c r="C257" s="3">
        <v>0.4375</v>
      </c>
      <c r="D257" s="17" t="s">
        <v>413</v>
      </c>
      <c r="E257" s="5" t="s">
        <v>410</v>
      </c>
      <c r="F257" s="6" t="s">
        <v>411</v>
      </c>
    </row>
    <row r="258" spans="1:6" ht="22.5" customHeight="1" x14ac:dyDescent="0.25">
      <c r="A258" s="1">
        <v>251</v>
      </c>
      <c r="B258" s="2">
        <v>44692</v>
      </c>
      <c r="C258" s="3">
        <v>0.44097222222222199</v>
      </c>
      <c r="D258" s="17" t="s">
        <v>414</v>
      </c>
      <c r="E258" s="5" t="s">
        <v>410</v>
      </c>
      <c r="F258" s="6" t="s">
        <v>411</v>
      </c>
    </row>
    <row r="259" spans="1:6" ht="22.5" customHeight="1" x14ac:dyDescent="0.25">
      <c r="A259" s="1">
        <v>252</v>
      </c>
      <c r="B259" s="2">
        <v>44692</v>
      </c>
      <c r="C259" s="3">
        <v>0.44444444444444398</v>
      </c>
      <c r="D259" s="17" t="s">
        <v>415</v>
      </c>
      <c r="E259" s="5" t="s">
        <v>136</v>
      </c>
      <c r="F259" s="6" t="s">
        <v>25</v>
      </c>
    </row>
    <row r="260" spans="1:6" ht="22.5" customHeight="1" x14ac:dyDescent="0.25">
      <c r="A260" s="1">
        <v>253</v>
      </c>
      <c r="B260" s="2">
        <v>44699</v>
      </c>
      <c r="C260" s="3">
        <v>0.39583333333333298</v>
      </c>
      <c r="D260" s="17" t="s">
        <v>416</v>
      </c>
      <c r="E260" s="5" t="s">
        <v>417</v>
      </c>
      <c r="F260" s="6" t="s">
        <v>25</v>
      </c>
    </row>
    <row r="261" spans="1:6" ht="22.5" customHeight="1" x14ac:dyDescent="0.25">
      <c r="A261" s="1">
        <v>254</v>
      </c>
      <c r="B261" s="2">
        <v>44699</v>
      </c>
      <c r="C261" s="3">
        <v>0.39930555555555602</v>
      </c>
      <c r="D261" s="17" t="s">
        <v>56</v>
      </c>
      <c r="E261" s="5" t="s">
        <v>418</v>
      </c>
      <c r="F261" s="6" t="s">
        <v>42</v>
      </c>
    </row>
    <row r="262" spans="1:6" ht="22.5" customHeight="1" x14ac:dyDescent="0.25">
      <c r="A262" s="1">
        <v>255</v>
      </c>
      <c r="B262" s="2">
        <v>44699</v>
      </c>
      <c r="C262" s="3">
        <v>0.40277777777777801</v>
      </c>
      <c r="D262" s="17" t="s">
        <v>419</v>
      </c>
      <c r="E262" s="5" t="s">
        <v>173</v>
      </c>
      <c r="F262" s="6" t="s">
        <v>30</v>
      </c>
    </row>
    <row r="263" spans="1:6" ht="22.5" customHeight="1" x14ac:dyDescent="0.25">
      <c r="A263" s="1">
        <v>256</v>
      </c>
      <c r="B263" s="2">
        <v>44699</v>
      </c>
      <c r="C263" s="3">
        <v>0.40625</v>
      </c>
      <c r="D263" s="17" t="s">
        <v>420</v>
      </c>
      <c r="E263" s="5" t="s">
        <v>421</v>
      </c>
      <c r="F263" s="6" t="s">
        <v>30</v>
      </c>
    </row>
    <row r="264" spans="1:6" ht="22.5" customHeight="1" x14ac:dyDescent="0.25">
      <c r="A264" s="1">
        <v>257</v>
      </c>
      <c r="B264" s="2">
        <v>44699</v>
      </c>
      <c r="C264" s="3">
        <v>0.40972222222222199</v>
      </c>
      <c r="D264" s="36" t="s">
        <v>422</v>
      </c>
      <c r="E264" s="5" t="s">
        <v>421</v>
      </c>
      <c r="F264" s="6" t="s">
        <v>30</v>
      </c>
    </row>
    <row r="265" spans="1:6" ht="22.5" customHeight="1" x14ac:dyDescent="0.25">
      <c r="A265" s="1">
        <v>258</v>
      </c>
      <c r="B265" s="2">
        <v>44706</v>
      </c>
      <c r="C265" s="3">
        <v>0.39583333333333298</v>
      </c>
      <c r="D265" s="17" t="s">
        <v>423</v>
      </c>
      <c r="E265" s="5" t="s">
        <v>424</v>
      </c>
      <c r="F265" s="6" t="s">
        <v>30</v>
      </c>
    </row>
    <row r="266" spans="1:6" ht="22.5" customHeight="1" x14ac:dyDescent="0.25">
      <c r="A266" s="1">
        <v>259</v>
      </c>
      <c r="B266" s="2">
        <v>44699</v>
      </c>
      <c r="C266" s="3">
        <v>0.41319444444444398</v>
      </c>
      <c r="D266" s="17" t="s">
        <v>123</v>
      </c>
      <c r="E266" s="5" t="s">
        <v>38</v>
      </c>
      <c r="F266" s="6" t="s">
        <v>425</v>
      </c>
    </row>
    <row r="267" spans="1:6" ht="22.5" customHeight="1" x14ac:dyDescent="0.25">
      <c r="A267" s="1">
        <v>260</v>
      </c>
      <c r="B267" s="2" t="s">
        <v>426</v>
      </c>
      <c r="C267" s="3">
        <v>0.41666666666666702</v>
      </c>
      <c r="D267" s="17" t="s">
        <v>200</v>
      </c>
      <c r="E267" s="5" t="s">
        <v>38</v>
      </c>
      <c r="F267" s="6" t="s">
        <v>425</v>
      </c>
    </row>
    <row r="268" spans="1:6" ht="22.5" customHeight="1" x14ac:dyDescent="0.25">
      <c r="A268" s="1">
        <v>261</v>
      </c>
      <c r="B268" s="2">
        <v>44699</v>
      </c>
      <c r="C268" s="3">
        <v>0.42013888888888901</v>
      </c>
      <c r="D268" s="17" t="s">
        <v>375</v>
      </c>
      <c r="E268" s="5" t="s">
        <v>376</v>
      </c>
      <c r="F268" s="6" t="s">
        <v>30</v>
      </c>
    </row>
    <row r="269" spans="1:6" ht="22.5" customHeight="1" x14ac:dyDescent="0.25">
      <c r="A269" s="1">
        <v>262</v>
      </c>
      <c r="B269" s="37">
        <v>44699</v>
      </c>
      <c r="C269" s="3">
        <v>0.42361111111111099</v>
      </c>
      <c r="D269" s="17" t="s">
        <v>427</v>
      </c>
      <c r="E269" s="5" t="s">
        <v>349</v>
      </c>
      <c r="F269" s="6" t="s">
        <v>25</v>
      </c>
    </row>
    <row r="270" spans="1:6" ht="22.5" customHeight="1" x14ac:dyDescent="0.25">
      <c r="A270" s="1">
        <v>263</v>
      </c>
      <c r="B270" s="2">
        <v>44706</v>
      </c>
      <c r="C270" s="3">
        <v>0.39930555555555602</v>
      </c>
      <c r="D270" s="17" t="s">
        <v>428</v>
      </c>
      <c r="E270" s="5" t="s">
        <v>429</v>
      </c>
      <c r="F270" s="6" t="s">
        <v>20</v>
      </c>
    </row>
    <row r="271" spans="1:6" ht="22.5" customHeight="1" x14ac:dyDescent="0.25">
      <c r="A271" s="1">
        <v>264</v>
      </c>
      <c r="B271" s="2">
        <v>44706</v>
      </c>
      <c r="C271" s="3">
        <v>0.40277777777777801</v>
      </c>
      <c r="D271" s="17" t="s">
        <v>430</v>
      </c>
      <c r="E271" s="5" t="s">
        <v>431</v>
      </c>
      <c r="F271" s="6" t="s">
        <v>39</v>
      </c>
    </row>
    <row r="272" spans="1:6" ht="22.5" customHeight="1" x14ac:dyDescent="0.25">
      <c r="A272" s="1">
        <v>265</v>
      </c>
      <c r="B272" s="2">
        <v>44706</v>
      </c>
      <c r="C272" s="3">
        <v>0.40625</v>
      </c>
      <c r="D272" s="17" t="s">
        <v>432</v>
      </c>
      <c r="E272" s="5" t="s">
        <v>433</v>
      </c>
    </row>
    <row r="273" spans="1:64" ht="22.5" customHeight="1" x14ac:dyDescent="0.25">
      <c r="A273" s="1">
        <v>266</v>
      </c>
      <c r="B273" s="2">
        <v>44713</v>
      </c>
      <c r="C273" s="3">
        <v>0.39583333333333298</v>
      </c>
      <c r="D273" s="17" t="s">
        <v>434</v>
      </c>
      <c r="E273" s="5" t="s">
        <v>435</v>
      </c>
      <c r="F273" s="6" t="s">
        <v>436</v>
      </c>
    </row>
    <row r="274" spans="1:64" ht="22.5" customHeight="1" x14ac:dyDescent="0.25">
      <c r="A274" s="1">
        <v>267</v>
      </c>
      <c r="B274" s="2">
        <v>44706</v>
      </c>
      <c r="C274" s="3">
        <v>0.40972222222222199</v>
      </c>
      <c r="D274" s="17" t="s">
        <v>437</v>
      </c>
      <c r="E274" s="5" t="s">
        <v>438</v>
      </c>
      <c r="F274" s="6" t="s">
        <v>25</v>
      </c>
    </row>
    <row r="275" spans="1:64" ht="22.5" customHeight="1" x14ac:dyDescent="0.25">
      <c r="A275" s="1">
        <v>268</v>
      </c>
      <c r="B275" s="2">
        <v>44706</v>
      </c>
      <c r="C275" s="3">
        <v>0.41319444444444398</v>
      </c>
      <c r="D275" s="17" t="s">
        <v>439</v>
      </c>
      <c r="E275" s="5" t="s">
        <v>440</v>
      </c>
      <c r="F275" s="6" t="s">
        <v>90</v>
      </c>
    </row>
    <row r="276" spans="1:64" ht="22.5" customHeight="1" x14ac:dyDescent="0.25">
      <c r="A276" s="1">
        <v>269</v>
      </c>
      <c r="B276" s="2">
        <v>44706</v>
      </c>
      <c r="C276" s="3">
        <v>0.41666666666666702</v>
      </c>
      <c r="D276" s="17" t="s">
        <v>441</v>
      </c>
      <c r="E276" s="5" t="s">
        <v>442</v>
      </c>
      <c r="F276" s="6" t="s">
        <v>443</v>
      </c>
    </row>
    <row r="277" spans="1:64" ht="22.5" customHeight="1" x14ac:dyDescent="0.25">
      <c r="A277" s="1">
        <v>270</v>
      </c>
      <c r="B277" s="2">
        <v>44706</v>
      </c>
      <c r="C277" s="3">
        <v>0.42013888888888901</v>
      </c>
      <c r="D277" s="17" t="s">
        <v>444</v>
      </c>
      <c r="E277" s="5" t="s">
        <v>442</v>
      </c>
      <c r="F277" s="6" t="s">
        <v>443</v>
      </c>
    </row>
    <row r="278" spans="1:64" ht="22.5" customHeight="1" x14ac:dyDescent="0.25">
      <c r="A278" s="1">
        <v>271</v>
      </c>
      <c r="B278" s="2">
        <v>44713</v>
      </c>
      <c r="C278" s="3">
        <v>0.39930555555555602</v>
      </c>
      <c r="D278" s="17" t="s">
        <v>445</v>
      </c>
      <c r="E278" s="5" t="s">
        <v>446</v>
      </c>
      <c r="F278" s="6" t="s">
        <v>151</v>
      </c>
    </row>
    <row r="279" spans="1:64" ht="22.5" customHeight="1" x14ac:dyDescent="0.25">
      <c r="A279" s="1">
        <v>272</v>
      </c>
      <c r="B279" s="2">
        <v>44713</v>
      </c>
      <c r="C279" s="3">
        <v>0.40277777777777801</v>
      </c>
      <c r="D279" s="17" t="s">
        <v>447</v>
      </c>
      <c r="E279" s="5" t="s">
        <v>100</v>
      </c>
      <c r="F279" s="6" t="s">
        <v>25</v>
      </c>
    </row>
    <row r="280" spans="1:64" ht="22.5" customHeight="1" x14ac:dyDescent="0.25">
      <c r="A280" s="1">
        <v>273</v>
      </c>
      <c r="B280" s="2">
        <v>44713</v>
      </c>
      <c r="C280" s="3">
        <v>0.40625</v>
      </c>
      <c r="D280" s="17" t="s">
        <v>448</v>
      </c>
      <c r="E280" s="5" t="s">
        <v>100</v>
      </c>
      <c r="F280" s="6" t="s">
        <v>449</v>
      </c>
    </row>
    <row r="281" spans="1:64" ht="33.75" customHeight="1" x14ac:dyDescent="0.25">
      <c r="A281" s="31">
        <v>274</v>
      </c>
      <c r="B281" s="32">
        <v>44713</v>
      </c>
      <c r="C281" s="33">
        <v>0.40972222222222199</v>
      </c>
      <c r="D281" s="16" t="s">
        <v>450</v>
      </c>
      <c r="E281" s="13" t="s">
        <v>102</v>
      </c>
      <c r="F281" s="13" t="s">
        <v>30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</row>
    <row r="282" spans="1:64" ht="22.5" customHeight="1" x14ac:dyDescent="0.25">
      <c r="A282" s="1">
        <v>275</v>
      </c>
      <c r="B282" s="2">
        <v>44713</v>
      </c>
      <c r="C282" s="3">
        <v>0.41319444444444398</v>
      </c>
      <c r="D282" s="17" t="s">
        <v>451</v>
      </c>
      <c r="E282" s="13" t="s">
        <v>102</v>
      </c>
      <c r="F282" s="13" t="s">
        <v>30</v>
      </c>
    </row>
    <row r="283" spans="1:64" ht="22.5" customHeight="1" x14ac:dyDescent="0.25">
      <c r="A283" s="1">
        <v>276</v>
      </c>
      <c r="B283" s="2">
        <v>44713</v>
      </c>
      <c r="C283" s="3">
        <v>0.41666666666666702</v>
      </c>
      <c r="D283" s="17" t="s">
        <v>452</v>
      </c>
      <c r="E283" s="13" t="s">
        <v>102</v>
      </c>
      <c r="F283" s="13" t="s">
        <v>30</v>
      </c>
    </row>
    <row r="284" spans="1:64" ht="22.5" customHeight="1" x14ac:dyDescent="0.25">
      <c r="A284" s="1">
        <v>277</v>
      </c>
      <c r="B284" s="2">
        <v>44713</v>
      </c>
      <c r="C284" s="3">
        <v>0.42013888888888901</v>
      </c>
      <c r="D284" s="17" t="s">
        <v>453</v>
      </c>
      <c r="E284" s="5" t="s">
        <v>454</v>
      </c>
      <c r="F284" s="6" t="s">
        <v>455</v>
      </c>
    </row>
    <row r="285" spans="1:64" ht="22.5" customHeight="1" x14ac:dyDescent="0.25">
      <c r="A285" s="1">
        <v>278</v>
      </c>
      <c r="B285" s="2">
        <v>44713</v>
      </c>
      <c r="C285" s="3">
        <v>0.42361111111111099</v>
      </c>
      <c r="D285" s="17" t="s">
        <v>456</v>
      </c>
      <c r="E285" s="5" t="s">
        <v>457</v>
      </c>
      <c r="F285" s="6" t="s">
        <v>458</v>
      </c>
    </row>
    <row r="286" spans="1:64" ht="22.5" customHeight="1" x14ac:dyDescent="0.25">
      <c r="A286" s="1">
        <v>279</v>
      </c>
      <c r="B286" s="2">
        <v>44720</v>
      </c>
      <c r="C286" s="3">
        <v>0.39583333333333298</v>
      </c>
      <c r="D286" s="17" t="s">
        <v>459</v>
      </c>
      <c r="E286" s="5" t="s">
        <v>460</v>
      </c>
      <c r="F286" s="6" t="s">
        <v>20</v>
      </c>
    </row>
    <row r="287" spans="1:64" ht="22.5" customHeight="1" x14ac:dyDescent="0.25">
      <c r="A287" s="1">
        <v>280</v>
      </c>
      <c r="B287" s="2">
        <v>44713</v>
      </c>
      <c r="C287" s="3">
        <v>0.42708333333333298</v>
      </c>
      <c r="D287" s="17" t="s">
        <v>461</v>
      </c>
      <c r="E287" s="5" t="s">
        <v>169</v>
      </c>
      <c r="F287" s="6" t="s">
        <v>20</v>
      </c>
    </row>
    <row r="288" spans="1:64" ht="22.5" customHeight="1" x14ac:dyDescent="0.25">
      <c r="A288" s="1">
        <v>281</v>
      </c>
      <c r="B288" s="2">
        <v>44713</v>
      </c>
      <c r="C288" s="3">
        <v>0.43055555555555602</v>
      </c>
      <c r="D288" s="17" t="s">
        <v>462</v>
      </c>
      <c r="E288" s="5" t="s">
        <v>232</v>
      </c>
      <c r="F288" s="6" t="s">
        <v>42</v>
      </c>
    </row>
    <row r="289" spans="1:64" ht="22.5" customHeight="1" x14ac:dyDescent="0.25">
      <c r="A289" s="1">
        <v>282</v>
      </c>
      <c r="B289" s="2">
        <v>44720</v>
      </c>
      <c r="C289" s="3">
        <v>0.39930555555555602</v>
      </c>
      <c r="D289" s="17" t="s">
        <v>354</v>
      </c>
      <c r="E289" s="5" t="s">
        <v>463</v>
      </c>
      <c r="F289" s="6" t="s">
        <v>20</v>
      </c>
    </row>
    <row r="290" spans="1:64" ht="22.5" customHeight="1" x14ac:dyDescent="0.25">
      <c r="A290" s="1">
        <v>283</v>
      </c>
      <c r="B290" s="2">
        <v>44720</v>
      </c>
      <c r="C290" s="3">
        <v>0.40277777777777801</v>
      </c>
      <c r="D290" s="17" t="s">
        <v>464</v>
      </c>
      <c r="E290" s="5" t="s">
        <v>438</v>
      </c>
      <c r="F290" s="6" t="s">
        <v>25</v>
      </c>
    </row>
    <row r="291" spans="1:64" ht="22.5" customHeight="1" x14ac:dyDescent="0.25">
      <c r="A291" s="1">
        <v>284</v>
      </c>
      <c r="B291" s="2">
        <v>44720</v>
      </c>
      <c r="C291" s="3">
        <v>0.40625</v>
      </c>
      <c r="D291" s="17" t="s">
        <v>465</v>
      </c>
      <c r="E291" s="5" t="s">
        <v>466</v>
      </c>
      <c r="F291" s="6" t="s">
        <v>25</v>
      </c>
    </row>
    <row r="292" spans="1:64" ht="22.5" customHeight="1" x14ac:dyDescent="0.25">
      <c r="A292" s="1">
        <v>285</v>
      </c>
      <c r="B292" s="2">
        <v>44720</v>
      </c>
      <c r="C292" s="3">
        <v>0.40972222222222199</v>
      </c>
      <c r="D292" s="17" t="s">
        <v>467</v>
      </c>
      <c r="E292" s="5" t="s">
        <v>468</v>
      </c>
      <c r="F292" s="6" t="s">
        <v>71</v>
      </c>
    </row>
    <row r="293" spans="1:64" ht="22.5" customHeight="1" x14ac:dyDescent="0.25">
      <c r="A293" s="1">
        <v>286</v>
      </c>
      <c r="B293" s="2">
        <v>44720</v>
      </c>
      <c r="C293" s="3">
        <v>0.41319444444444398</v>
      </c>
      <c r="D293" s="17" t="s">
        <v>469</v>
      </c>
      <c r="E293" s="5" t="s">
        <v>470</v>
      </c>
      <c r="F293" s="6" t="s">
        <v>71</v>
      </c>
    </row>
    <row r="294" spans="1:64" ht="22.5" customHeight="1" x14ac:dyDescent="0.25">
      <c r="A294" s="1">
        <v>287</v>
      </c>
      <c r="B294" s="2">
        <v>44727</v>
      </c>
      <c r="C294" s="3">
        <v>0.39583333333333298</v>
      </c>
      <c r="D294" s="17" t="s">
        <v>471</v>
      </c>
      <c r="E294" s="5" t="s">
        <v>472</v>
      </c>
      <c r="F294" s="6" t="s">
        <v>458</v>
      </c>
    </row>
    <row r="295" spans="1:64" ht="31.5" customHeight="1" x14ac:dyDescent="0.25">
      <c r="A295" s="31">
        <v>288</v>
      </c>
      <c r="B295" s="32">
        <v>44720</v>
      </c>
      <c r="C295" s="33">
        <v>0.41666666666666702</v>
      </c>
      <c r="D295" s="16" t="s">
        <v>473</v>
      </c>
      <c r="E295" s="13" t="s">
        <v>454</v>
      </c>
      <c r="F295" s="13" t="s">
        <v>246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</row>
    <row r="296" spans="1:64" ht="22.5" customHeight="1" x14ac:dyDescent="0.25">
      <c r="A296" s="1">
        <v>289</v>
      </c>
      <c r="B296" s="2">
        <v>44727</v>
      </c>
      <c r="C296" s="3">
        <v>0.39930555555555602</v>
      </c>
      <c r="D296" s="17" t="s">
        <v>474</v>
      </c>
      <c r="E296" s="5" t="s">
        <v>475</v>
      </c>
      <c r="F296" s="6" t="s">
        <v>476</v>
      </c>
    </row>
    <row r="297" spans="1:64" ht="22.5" customHeight="1" x14ac:dyDescent="0.25">
      <c r="A297" s="1">
        <v>290</v>
      </c>
      <c r="B297" s="2">
        <v>44727</v>
      </c>
      <c r="C297" s="3">
        <v>0.40277777777777801</v>
      </c>
      <c r="D297" s="17" t="s">
        <v>423</v>
      </c>
      <c r="E297" s="5" t="s">
        <v>424</v>
      </c>
      <c r="F297" s="6" t="s">
        <v>42</v>
      </c>
    </row>
    <row r="298" spans="1:64" ht="22.5" customHeight="1" x14ac:dyDescent="0.25">
      <c r="A298" s="1">
        <v>291</v>
      </c>
      <c r="B298" s="2">
        <v>44727</v>
      </c>
      <c r="C298" s="3">
        <v>0.40625</v>
      </c>
      <c r="D298" s="17" t="s">
        <v>477</v>
      </c>
      <c r="E298" s="5" t="s">
        <v>478</v>
      </c>
      <c r="F298" s="6" t="s">
        <v>30</v>
      </c>
    </row>
    <row r="299" spans="1:64" ht="22.5" customHeight="1" x14ac:dyDescent="0.25">
      <c r="A299" s="1">
        <v>292</v>
      </c>
      <c r="B299" s="2">
        <v>44727</v>
      </c>
      <c r="C299" s="3">
        <v>0.40972222222222199</v>
      </c>
      <c r="D299" s="17" t="s">
        <v>479</v>
      </c>
      <c r="E299" s="5" t="s">
        <v>480</v>
      </c>
      <c r="F299" s="6" t="s">
        <v>90</v>
      </c>
    </row>
    <row r="300" spans="1:64" ht="22.5" customHeight="1" x14ac:dyDescent="0.25">
      <c r="A300" s="1">
        <v>293</v>
      </c>
      <c r="B300" s="2">
        <v>44727</v>
      </c>
      <c r="C300" s="3">
        <v>0.41319444444444398</v>
      </c>
      <c r="D300" s="17" t="s">
        <v>178</v>
      </c>
      <c r="E300" s="5" t="s">
        <v>179</v>
      </c>
      <c r="F300" s="6" t="s">
        <v>481</v>
      </c>
    </row>
    <row r="301" spans="1:64" ht="22.5" customHeight="1" x14ac:dyDescent="0.25">
      <c r="A301" s="1">
        <v>294</v>
      </c>
      <c r="B301" s="2">
        <v>44727</v>
      </c>
      <c r="C301" s="3">
        <v>0.41666666666666702</v>
      </c>
      <c r="D301" s="17" t="s">
        <v>482</v>
      </c>
      <c r="E301" s="5" t="s">
        <v>268</v>
      </c>
      <c r="F301" s="6" t="s">
        <v>20</v>
      </c>
    </row>
    <row r="302" spans="1:64" ht="22.5" customHeight="1" x14ac:dyDescent="0.25">
      <c r="A302" s="1">
        <v>295</v>
      </c>
      <c r="B302" s="2">
        <v>44727</v>
      </c>
      <c r="C302" s="3">
        <v>0.42013888888888901</v>
      </c>
      <c r="D302" s="17" t="s">
        <v>483</v>
      </c>
      <c r="E302" s="5" t="s">
        <v>38</v>
      </c>
      <c r="F302" s="6" t="s">
        <v>20</v>
      </c>
    </row>
    <row r="303" spans="1:64" ht="22.5" customHeight="1" x14ac:dyDescent="0.25">
      <c r="A303" s="1">
        <v>296</v>
      </c>
      <c r="B303" s="2">
        <v>44720</v>
      </c>
      <c r="C303" s="3">
        <v>0.42013888888888901</v>
      </c>
      <c r="D303" s="17" t="s">
        <v>484</v>
      </c>
      <c r="E303" s="5" t="s">
        <v>485</v>
      </c>
      <c r="F303" s="6" t="s">
        <v>71</v>
      </c>
    </row>
    <row r="304" spans="1:64" ht="22.5" customHeight="1" x14ac:dyDescent="0.25">
      <c r="A304" s="1">
        <v>297</v>
      </c>
      <c r="B304" s="2">
        <v>44727</v>
      </c>
      <c r="C304" s="3">
        <v>0.42361111111111099</v>
      </c>
      <c r="D304" s="17" t="s">
        <v>486</v>
      </c>
      <c r="E304" s="5" t="s">
        <v>487</v>
      </c>
      <c r="F304" s="6" t="s">
        <v>25</v>
      </c>
    </row>
    <row r="305" spans="1:6" ht="22.5" customHeight="1" x14ac:dyDescent="0.25">
      <c r="A305" s="1">
        <v>298</v>
      </c>
      <c r="B305" s="2">
        <v>44727</v>
      </c>
      <c r="C305" s="3">
        <v>0.42708333333333298</v>
      </c>
      <c r="D305" s="17" t="s">
        <v>488</v>
      </c>
      <c r="E305" s="5" t="s">
        <v>489</v>
      </c>
      <c r="F305" s="6" t="s">
        <v>151</v>
      </c>
    </row>
    <row r="306" spans="1:6" ht="22.5" customHeight="1" x14ac:dyDescent="0.25">
      <c r="A306" s="1">
        <v>299</v>
      </c>
      <c r="B306" s="2">
        <v>44727</v>
      </c>
      <c r="C306" s="3">
        <v>0.43055555555555602</v>
      </c>
      <c r="D306" s="17" t="s">
        <v>490</v>
      </c>
      <c r="E306" s="5" t="s">
        <v>491</v>
      </c>
      <c r="F306" s="6" t="s">
        <v>25</v>
      </c>
    </row>
    <row r="307" spans="1:6" ht="22.5" customHeight="1" x14ac:dyDescent="0.25">
      <c r="A307" s="1">
        <v>300</v>
      </c>
      <c r="B307" s="2">
        <v>44727</v>
      </c>
      <c r="C307" s="3">
        <v>0.43402777777777801</v>
      </c>
      <c r="D307" s="17" t="s">
        <v>492</v>
      </c>
      <c r="E307" s="5" t="s">
        <v>493</v>
      </c>
      <c r="F307" s="6" t="s">
        <v>30</v>
      </c>
    </row>
    <row r="308" spans="1:6" ht="22.5" customHeight="1" x14ac:dyDescent="0.25">
      <c r="A308" s="1">
        <v>301</v>
      </c>
      <c r="B308" s="2">
        <v>44727</v>
      </c>
      <c r="C308" s="3">
        <v>0.4375</v>
      </c>
      <c r="D308" s="17" t="s">
        <v>494</v>
      </c>
      <c r="E308" s="5" t="s">
        <v>493</v>
      </c>
      <c r="F308" s="6" t="s">
        <v>30</v>
      </c>
    </row>
    <row r="309" spans="1:6" ht="22.5" customHeight="1" x14ac:dyDescent="0.25">
      <c r="A309" s="1">
        <v>302</v>
      </c>
      <c r="B309" s="2">
        <v>44727</v>
      </c>
      <c r="C309" s="3">
        <v>0.44097222222222199</v>
      </c>
      <c r="D309" s="17" t="s">
        <v>495</v>
      </c>
      <c r="E309" s="5" t="s">
        <v>496</v>
      </c>
      <c r="F309" s="6" t="s">
        <v>30</v>
      </c>
    </row>
    <row r="310" spans="1:6" ht="22.5" customHeight="1" x14ac:dyDescent="0.25">
      <c r="A310" s="1">
        <v>303</v>
      </c>
      <c r="B310" s="2">
        <v>44734</v>
      </c>
      <c r="C310" s="3">
        <v>0.39583333333333298</v>
      </c>
      <c r="D310" s="17" t="s">
        <v>497</v>
      </c>
      <c r="E310" s="5" t="s">
        <v>498</v>
      </c>
      <c r="F310" s="6" t="s">
        <v>42</v>
      </c>
    </row>
    <row r="311" spans="1:6" ht="22.5" customHeight="1" x14ac:dyDescent="0.25">
      <c r="A311" s="1">
        <v>304</v>
      </c>
      <c r="B311" s="2">
        <v>44734</v>
      </c>
      <c r="C311" s="3">
        <v>0.39930555555555602</v>
      </c>
      <c r="D311" s="17" t="s">
        <v>453</v>
      </c>
      <c r="E311" s="5" t="s">
        <v>454</v>
      </c>
      <c r="F311" s="6" t="s">
        <v>449</v>
      </c>
    </row>
    <row r="312" spans="1:6" ht="22.5" customHeight="1" x14ac:dyDescent="0.25">
      <c r="A312" s="1">
        <v>305</v>
      </c>
      <c r="B312" s="2">
        <v>44734</v>
      </c>
      <c r="C312" s="3">
        <v>0.40277777777777801</v>
      </c>
      <c r="D312" s="17" t="s">
        <v>499</v>
      </c>
      <c r="E312" s="5" t="s">
        <v>500</v>
      </c>
      <c r="F312" s="6" t="s">
        <v>42</v>
      </c>
    </row>
    <row r="313" spans="1:6" ht="22.5" customHeight="1" x14ac:dyDescent="0.25">
      <c r="A313" s="1">
        <v>306</v>
      </c>
      <c r="B313" s="2">
        <v>44734</v>
      </c>
      <c r="C313" s="3">
        <v>0.40625</v>
      </c>
      <c r="D313" s="17" t="s">
        <v>501</v>
      </c>
      <c r="E313" s="5" t="s">
        <v>502</v>
      </c>
      <c r="F313" s="6" t="s">
        <v>25</v>
      </c>
    </row>
    <row r="314" spans="1:6" ht="22.5" customHeight="1" x14ac:dyDescent="0.25">
      <c r="A314" s="1">
        <v>307</v>
      </c>
      <c r="B314" s="2">
        <v>44734</v>
      </c>
      <c r="C314" s="3">
        <v>0.40972222222222199</v>
      </c>
      <c r="D314" s="17" t="s">
        <v>503</v>
      </c>
      <c r="E314" s="5" t="s">
        <v>504</v>
      </c>
      <c r="F314" s="6" t="s">
        <v>505</v>
      </c>
    </row>
    <row r="315" spans="1:6" ht="22.5" customHeight="1" x14ac:dyDescent="0.25">
      <c r="A315" s="1">
        <v>308</v>
      </c>
      <c r="B315" s="2">
        <v>44734</v>
      </c>
      <c r="C315" s="3">
        <v>0.41319444444444398</v>
      </c>
      <c r="D315" s="17" t="s">
        <v>506</v>
      </c>
      <c r="E315" s="5" t="s">
        <v>65</v>
      </c>
      <c r="F315" s="6" t="s">
        <v>20</v>
      </c>
    </row>
    <row r="316" spans="1:6" ht="22.5" customHeight="1" x14ac:dyDescent="0.25">
      <c r="A316" s="1">
        <v>309</v>
      </c>
      <c r="B316" s="2">
        <v>44734</v>
      </c>
      <c r="C316" s="3">
        <v>0.41666666666666702</v>
      </c>
      <c r="D316" s="17" t="s">
        <v>462</v>
      </c>
      <c r="E316" s="5" t="s">
        <v>295</v>
      </c>
      <c r="F316" s="6" t="s">
        <v>20</v>
      </c>
    </row>
    <row r="317" spans="1:6" ht="22.5" customHeight="1" x14ac:dyDescent="0.25">
      <c r="A317" s="1">
        <v>310</v>
      </c>
      <c r="B317" s="2">
        <v>44734</v>
      </c>
      <c r="C317" s="3">
        <v>0.42013888888888901</v>
      </c>
      <c r="D317" s="17" t="s">
        <v>507</v>
      </c>
      <c r="E317" s="5" t="s">
        <v>508</v>
      </c>
      <c r="F317" s="6" t="s">
        <v>20</v>
      </c>
    </row>
    <row r="318" spans="1:6" ht="22.5" customHeight="1" x14ac:dyDescent="0.3">
      <c r="A318" s="1">
        <v>311</v>
      </c>
      <c r="B318" s="2">
        <v>44734</v>
      </c>
      <c r="C318" s="38" t="s">
        <v>509</v>
      </c>
      <c r="D318" s="17" t="s">
        <v>471</v>
      </c>
      <c r="E318" s="5" t="s">
        <v>472</v>
      </c>
      <c r="F318" s="6" t="s">
        <v>42</v>
      </c>
    </row>
    <row r="319" spans="1:6" ht="22.5" customHeight="1" x14ac:dyDescent="0.25">
      <c r="A319" s="1">
        <v>312</v>
      </c>
      <c r="B319" s="2">
        <v>44734</v>
      </c>
      <c r="C319" s="3">
        <v>0.42708333333333298</v>
      </c>
      <c r="D319" s="17" t="s">
        <v>510</v>
      </c>
      <c r="E319" s="5" t="s">
        <v>511</v>
      </c>
      <c r="F319" s="6" t="s">
        <v>25</v>
      </c>
    </row>
    <row r="320" spans="1:6" ht="22.5" customHeight="1" x14ac:dyDescent="0.25">
      <c r="A320" s="1">
        <v>313</v>
      </c>
      <c r="B320" s="2">
        <v>44741</v>
      </c>
      <c r="C320" s="3">
        <v>0.39583333333333298</v>
      </c>
      <c r="D320" s="17" t="s">
        <v>512</v>
      </c>
      <c r="E320" s="5" t="s">
        <v>513</v>
      </c>
      <c r="F320" s="6" t="s">
        <v>30</v>
      </c>
    </row>
    <row r="321" spans="1:64" ht="22.5" customHeight="1" x14ac:dyDescent="0.25">
      <c r="A321" s="1">
        <v>314</v>
      </c>
      <c r="B321" s="2">
        <v>44741</v>
      </c>
      <c r="C321" s="3">
        <v>0.39930555555555602</v>
      </c>
      <c r="D321" s="17" t="s">
        <v>512</v>
      </c>
      <c r="E321" s="5" t="s">
        <v>513</v>
      </c>
      <c r="F321" s="6" t="s">
        <v>30</v>
      </c>
    </row>
    <row r="322" spans="1:64" ht="22.5" customHeight="1" x14ac:dyDescent="0.25">
      <c r="A322" s="1">
        <v>315</v>
      </c>
      <c r="B322" s="2">
        <v>44741</v>
      </c>
      <c r="C322" s="3">
        <v>0.40277777777777801</v>
      </c>
      <c r="D322" s="17" t="s">
        <v>514</v>
      </c>
      <c r="E322" s="5" t="s">
        <v>515</v>
      </c>
      <c r="F322" s="6" t="s">
        <v>88</v>
      </c>
    </row>
    <row r="323" spans="1:64" ht="22.5" customHeight="1" x14ac:dyDescent="0.25">
      <c r="A323" s="1">
        <v>316</v>
      </c>
      <c r="B323" s="2">
        <v>44741</v>
      </c>
      <c r="C323" s="3">
        <v>0.40625</v>
      </c>
      <c r="D323" s="17" t="s">
        <v>516</v>
      </c>
      <c r="E323" s="5" t="s">
        <v>65</v>
      </c>
      <c r="F323" s="6" t="s">
        <v>517</v>
      </c>
    </row>
    <row r="324" spans="1:64" ht="22.5" customHeight="1" x14ac:dyDescent="0.25">
      <c r="A324" s="1">
        <v>317</v>
      </c>
      <c r="B324" s="2">
        <v>44741</v>
      </c>
      <c r="C324" s="3">
        <v>0.40972222222222199</v>
      </c>
      <c r="D324" s="17" t="s">
        <v>518</v>
      </c>
      <c r="E324" s="5" t="s">
        <v>65</v>
      </c>
      <c r="F324" s="6" t="s">
        <v>519</v>
      </c>
    </row>
    <row r="325" spans="1:64" ht="22.5" customHeight="1" x14ac:dyDescent="0.25">
      <c r="A325" s="1">
        <v>318</v>
      </c>
      <c r="B325" s="2">
        <v>44741</v>
      </c>
      <c r="C325" s="3">
        <v>0.41319444444444398</v>
      </c>
      <c r="D325" s="17" t="s">
        <v>520</v>
      </c>
      <c r="E325" s="5" t="s">
        <v>38</v>
      </c>
      <c r="F325" s="6" t="s">
        <v>521</v>
      </c>
    </row>
    <row r="326" spans="1:64" ht="22.5" customHeight="1" x14ac:dyDescent="0.25">
      <c r="A326" s="1">
        <v>319</v>
      </c>
      <c r="B326" s="2">
        <v>44741</v>
      </c>
      <c r="C326" s="3">
        <v>0.41666666666666702</v>
      </c>
      <c r="D326" s="17" t="s">
        <v>522</v>
      </c>
      <c r="E326" s="5" t="s">
        <v>38</v>
      </c>
      <c r="F326" s="6" t="s">
        <v>519</v>
      </c>
    </row>
    <row r="327" spans="1:64" ht="22.5" customHeight="1" x14ac:dyDescent="0.25">
      <c r="A327" s="1">
        <v>320</v>
      </c>
      <c r="B327" s="2">
        <v>44741</v>
      </c>
      <c r="C327" s="3">
        <v>0.42013888888888901</v>
      </c>
      <c r="D327" s="17" t="s">
        <v>523</v>
      </c>
      <c r="E327" s="5" t="s">
        <v>38</v>
      </c>
      <c r="F327" s="6" t="s">
        <v>521</v>
      </c>
    </row>
    <row r="328" spans="1:64" ht="22.5" customHeight="1" x14ac:dyDescent="0.25">
      <c r="A328" s="1">
        <v>321</v>
      </c>
      <c r="B328" s="2">
        <v>44741</v>
      </c>
      <c r="C328" s="3">
        <v>0.42361111111111099</v>
      </c>
      <c r="D328" s="17" t="s">
        <v>524</v>
      </c>
      <c r="E328" s="5" t="s">
        <v>38</v>
      </c>
      <c r="F328" s="6" t="s">
        <v>519</v>
      </c>
    </row>
    <row r="329" spans="1:64" ht="22.5" customHeight="1" x14ac:dyDescent="0.25">
      <c r="A329" s="1">
        <v>322</v>
      </c>
      <c r="B329" s="2">
        <v>44741</v>
      </c>
      <c r="C329" s="3">
        <v>0.42708333333333298</v>
      </c>
      <c r="D329" s="17" t="s">
        <v>525</v>
      </c>
      <c r="E329" s="5" t="s">
        <v>38</v>
      </c>
      <c r="F329" s="6" t="s">
        <v>521</v>
      </c>
    </row>
    <row r="330" spans="1:64" ht="22.5" customHeight="1" x14ac:dyDescent="0.25">
      <c r="A330" s="1">
        <v>323</v>
      </c>
      <c r="B330" s="2">
        <v>44741</v>
      </c>
      <c r="C330" s="3">
        <v>0.43055555555555602</v>
      </c>
      <c r="D330" s="17" t="s">
        <v>526</v>
      </c>
      <c r="E330" s="5" t="s">
        <v>38</v>
      </c>
      <c r="F330" s="6" t="s">
        <v>521</v>
      </c>
    </row>
    <row r="331" spans="1:64" ht="22.5" customHeight="1" x14ac:dyDescent="0.25">
      <c r="A331" s="1">
        <v>324</v>
      </c>
      <c r="B331" s="2">
        <v>44741</v>
      </c>
      <c r="C331" s="3">
        <v>0.43402777777777801</v>
      </c>
      <c r="D331" s="17" t="s">
        <v>527</v>
      </c>
      <c r="E331" s="5" t="s">
        <v>38</v>
      </c>
      <c r="F331" s="6" t="s">
        <v>528</v>
      </c>
    </row>
    <row r="332" spans="1:64" ht="22.5" customHeight="1" x14ac:dyDescent="0.25">
      <c r="A332" s="1">
        <v>325</v>
      </c>
      <c r="B332" s="2">
        <v>44741</v>
      </c>
      <c r="C332" s="3">
        <v>0.4375</v>
      </c>
      <c r="D332" s="17" t="s">
        <v>529</v>
      </c>
      <c r="E332" s="5" t="s">
        <v>530</v>
      </c>
      <c r="F332" s="6" t="s">
        <v>30</v>
      </c>
    </row>
    <row r="333" spans="1:64" ht="22.5" customHeight="1" x14ac:dyDescent="0.25">
      <c r="A333" s="1">
        <v>326</v>
      </c>
      <c r="B333" s="2">
        <v>44741</v>
      </c>
      <c r="C333" s="3">
        <v>0.44097222222222199</v>
      </c>
      <c r="D333" s="17" t="s">
        <v>529</v>
      </c>
      <c r="E333" s="5" t="s">
        <v>530</v>
      </c>
      <c r="F333" s="6" t="s">
        <v>531</v>
      </c>
    </row>
    <row r="334" spans="1:64" ht="22.5" customHeight="1" x14ac:dyDescent="0.25">
      <c r="A334" s="1">
        <v>327</v>
      </c>
      <c r="B334" s="2">
        <v>44741</v>
      </c>
      <c r="C334" s="3">
        <v>0.44444444444444398</v>
      </c>
      <c r="D334" s="17" t="s">
        <v>532</v>
      </c>
      <c r="E334" s="5" t="s">
        <v>533</v>
      </c>
      <c r="F334" s="6" t="s">
        <v>25</v>
      </c>
    </row>
    <row r="335" spans="1:64" ht="22.5" customHeight="1" x14ac:dyDescent="0.25">
      <c r="A335" s="1">
        <v>328</v>
      </c>
      <c r="B335" s="2">
        <v>44741</v>
      </c>
      <c r="C335" s="3">
        <v>0.44791666666666702</v>
      </c>
      <c r="D335" s="17" t="s">
        <v>534</v>
      </c>
      <c r="E335" s="5" t="s">
        <v>535</v>
      </c>
      <c r="F335" s="6" t="s">
        <v>30</v>
      </c>
    </row>
    <row r="336" spans="1:64" ht="33.75" customHeight="1" x14ac:dyDescent="0.25">
      <c r="A336" s="31">
        <v>329</v>
      </c>
      <c r="B336" s="32">
        <v>44741</v>
      </c>
      <c r="C336" s="33">
        <v>0.45138888888888901</v>
      </c>
      <c r="D336" s="16" t="s">
        <v>536</v>
      </c>
      <c r="E336" s="13" t="s">
        <v>537</v>
      </c>
      <c r="F336" s="13" t="s">
        <v>254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</row>
    <row r="337" spans="1:9" ht="22.5" customHeight="1" x14ac:dyDescent="0.25">
      <c r="A337" s="1">
        <v>330</v>
      </c>
      <c r="B337" s="2">
        <v>44741</v>
      </c>
      <c r="C337" s="3">
        <v>0.45486111111111099</v>
      </c>
      <c r="D337" s="17" t="s">
        <v>536</v>
      </c>
      <c r="E337" s="5" t="s">
        <v>537</v>
      </c>
      <c r="F337" s="6" t="s">
        <v>254</v>
      </c>
    </row>
    <row r="338" spans="1:9" ht="22.5" customHeight="1" x14ac:dyDescent="0.25">
      <c r="A338" s="1">
        <v>331</v>
      </c>
      <c r="B338" s="2">
        <v>44754</v>
      </c>
      <c r="C338" s="3">
        <v>0.39583333333333298</v>
      </c>
      <c r="D338" s="17" t="s">
        <v>538</v>
      </c>
      <c r="E338" s="5" t="s">
        <v>539</v>
      </c>
      <c r="F338" s="6" t="s">
        <v>90</v>
      </c>
    </row>
    <row r="339" spans="1:9" ht="22.5" customHeight="1" x14ac:dyDescent="0.25">
      <c r="A339" s="1">
        <v>332</v>
      </c>
      <c r="B339" s="2">
        <v>44754</v>
      </c>
      <c r="C339" s="3">
        <v>0.39930555555555602</v>
      </c>
      <c r="D339" s="17" t="s">
        <v>540</v>
      </c>
      <c r="E339" s="5" t="s">
        <v>38</v>
      </c>
      <c r="F339" s="6" t="s">
        <v>254</v>
      </c>
    </row>
    <row r="340" spans="1:9" ht="22.5" customHeight="1" x14ac:dyDescent="0.25">
      <c r="A340" s="1">
        <v>333</v>
      </c>
      <c r="B340" s="2">
        <v>44754</v>
      </c>
      <c r="C340" s="3">
        <v>0.40277777777777801</v>
      </c>
      <c r="D340" s="17" t="s">
        <v>541</v>
      </c>
      <c r="E340" s="5" t="s">
        <v>38</v>
      </c>
      <c r="F340" s="6" t="s">
        <v>542</v>
      </c>
    </row>
    <row r="341" spans="1:9" ht="22.5" customHeight="1" x14ac:dyDescent="0.25">
      <c r="A341" s="1">
        <v>334</v>
      </c>
      <c r="B341" s="2">
        <v>44754</v>
      </c>
      <c r="C341" s="3">
        <v>0.40625</v>
      </c>
      <c r="D341" s="17" t="s">
        <v>543</v>
      </c>
      <c r="E341" s="5" t="s">
        <v>544</v>
      </c>
      <c r="F341" s="6" t="s">
        <v>151</v>
      </c>
      <c r="G341" s="39"/>
      <c r="H341" s="39"/>
      <c r="I341" s="39"/>
    </row>
    <row r="342" spans="1:9" ht="22.5" customHeight="1" x14ac:dyDescent="0.25">
      <c r="A342" s="1">
        <v>335</v>
      </c>
      <c r="B342" s="2">
        <v>44754</v>
      </c>
      <c r="C342" s="3">
        <v>0.40972222222222199</v>
      </c>
      <c r="D342" s="17" t="s">
        <v>545</v>
      </c>
      <c r="E342" s="22" t="s">
        <v>546</v>
      </c>
      <c r="F342" s="6" t="s">
        <v>25</v>
      </c>
    </row>
    <row r="343" spans="1:9" ht="22.5" customHeight="1" x14ac:dyDescent="0.25">
      <c r="A343" s="1">
        <v>336</v>
      </c>
      <c r="B343" s="2">
        <v>44754</v>
      </c>
      <c r="C343" s="3">
        <v>0.41319444444444398</v>
      </c>
      <c r="D343" s="17" t="s">
        <v>547</v>
      </c>
      <c r="E343" s="20" t="s">
        <v>548</v>
      </c>
      <c r="F343" s="6" t="s">
        <v>25</v>
      </c>
    </row>
    <row r="344" spans="1:9" ht="22.5" customHeight="1" x14ac:dyDescent="0.25">
      <c r="A344" s="1">
        <v>337</v>
      </c>
      <c r="B344" s="2">
        <v>44754</v>
      </c>
      <c r="C344" s="3">
        <v>0.41666666666666702</v>
      </c>
      <c r="D344" s="17" t="s">
        <v>549</v>
      </c>
      <c r="E344" s="20" t="s">
        <v>550</v>
      </c>
      <c r="F344" s="6" t="s">
        <v>25</v>
      </c>
    </row>
    <row r="345" spans="1:9" ht="22.5" customHeight="1" x14ac:dyDescent="0.25">
      <c r="A345" s="1">
        <v>338</v>
      </c>
      <c r="B345" s="2">
        <v>44754</v>
      </c>
      <c r="C345" s="3">
        <v>0.42013888888888901</v>
      </c>
      <c r="D345" s="17" t="s">
        <v>551</v>
      </c>
      <c r="E345" s="5" t="s">
        <v>552</v>
      </c>
      <c r="F345" s="6" t="s">
        <v>30</v>
      </c>
    </row>
    <row r="346" spans="1:9" ht="22.5" customHeight="1" x14ac:dyDescent="0.25">
      <c r="A346" s="1">
        <v>339</v>
      </c>
      <c r="B346" s="2">
        <v>44754</v>
      </c>
      <c r="C346" s="3">
        <v>0.42361111111111099</v>
      </c>
      <c r="D346" s="17" t="s">
        <v>536</v>
      </c>
      <c r="E346" s="5" t="s">
        <v>537</v>
      </c>
      <c r="F346" s="6" t="s">
        <v>254</v>
      </c>
    </row>
    <row r="347" spans="1:9" ht="22.5" customHeight="1" x14ac:dyDescent="0.25">
      <c r="A347" s="1">
        <v>340</v>
      </c>
      <c r="B347" s="2">
        <v>44741</v>
      </c>
      <c r="C347" s="3">
        <v>0.45833333333333298</v>
      </c>
      <c r="D347" s="17" t="s">
        <v>510</v>
      </c>
      <c r="E347" s="5" t="s">
        <v>553</v>
      </c>
      <c r="F347" s="6" t="s">
        <v>554</v>
      </c>
    </row>
    <row r="348" spans="1:9" ht="22.5" customHeight="1" x14ac:dyDescent="0.25">
      <c r="A348" s="1">
        <v>341</v>
      </c>
      <c r="B348" s="2">
        <v>44754</v>
      </c>
      <c r="C348" s="3">
        <v>0.42708333333333298</v>
      </c>
      <c r="D348" s="17" t="s">
        <v>555</v>
      </c>
      <c r="E348" s="5" t="s">
        <v>38</v>
      </c>
      <c r="F348" s="6" t="s">
        <v>155</v>
      </c>
    </row>
    <row r="349" spans="1:9" ht="22.5" customHeight="1" x14ac:dyDescent="0.25">
      <c r="A349" s="1">
        <v>342</v>
      </c>
      <c r="B349" s="2">
        <v>44754</v>
      </c>
      <c r="C349" s="3">
        <v>0.43055555555555602</v>
      </c>
      <c r="D349" s="17" t="s">
        <v>499</v>
      </c>
      <c r="E349" s="5" t="s">
        <v>556</v>
      </c>
      <c r="F349" s="6" t="s">
        <v>20</v>
      </c>
    </row>
    <row r="350" spans="1:9" ht="22.5" customHeight="1" x14ac:dyDescent="0.25">
      <c r="A350" s="1">
        <v>343</v>
      </c>
      <c r="B350" s="2">
        <v>44754</v>
      </c>
      <c r="C350" s="3">
        <v>0.43402777777777801</v>
      </c>
      <c r="D350" s="17" t="s">
        <v>448</v>
      </c>
      <c r="E350" s="5" t="s">
        <v>100</v>
      </c>
      <c r="F350" s="6" t="s">
        <v>20</v>
      </c>
    </row>
    <row r="351" spans="1:9" ht="22.5" customHeight="1" x14ac:dyDescent="0.25">
      <c r="A351" s="1">
        <v>344</v>
      </c>
      <c r="B351" s="2">
        <v>44754</v>
      </c>
      <c r="C351" s="3">
        <v>0.4375</v>
      </c>
      <c r="D351" s="17" t="s">
        <v>557</v>
      </c>
      <c r="E351" s="5" t="s">
        <v>295</v>
      </c>
      <c r="F351" s="6" t="s">
        <v>30</v>
      </c>
    </row>
    <row r="352" spans="1:9" ht="22.5" customHeight="1" x14ac:dyDescent="0.25">
      <c r="A352" s="1">
        <v>345</v>
      </c>
      <c r="B352" s="2">
        <v>44754</v>
      </c>
      <c r="C352" s="3">
        <v>0.44097222222222199</v>
      </c>
      <c r="D352" s="17" t="s">
        <v>558</v>
      </c>
      <c r="E352" s="5" t="s">
        <v>138</v>
      </c>
      <c r="F352" s="6" t="s">
        <v>20</v>
      </c>
    </row>
    <row r="353" spans="1:64" ht="22.5" customHeight="1" x14ac:dyDescent="0.25">
      <c r="A353" s="1">
        <v>346</v>
      </c>
      <c r="B353" s="2">
        <v>44754</v>
      </c>
      <c r="C353" s="3">
        <v>0.44444444444444398</v>
      </c>
      <c r="D353" s="17" t="s">
        <v>559</v>
      </c>
      <c r="E353" s="5" t="s">
        <v>560</v>
      </c>
      <c r="F353" s="6" t="s">
        <v>561</v>
      </c>
    </row>
    <row r="354" spans="1:64" ht="22.5" customHeight="1" x14ac:dyDescent="0.25">
      <c r="A354" s="1">
        <v>347</v>
      </c>
      <c r="B354" s="2">
        <v>44757</v>
      </c>
      <c r="C354" s="3">
        <v>0.54166666666666696</v>
      </c>
      <c r="D354" s="17" t="s">
        <v>562</v>
      </c>
      <c r="E354" s="5" t="s">
        <v>563</v>
      </c>
      <c r="F354" s="6" t="s">
        <v>25</v>
      </c>
    </row>
    <row r="355" spans="1:64" ht="22.5" customHeight="1" x14ac:dyDescent="0.25">
      <c r="A355" s="1">
        <v>348</v>
      </c>
      <c r="B355" s="2">
        <v>44757</v>
      </c>
      <c r="C355" s="3">
        <v>0.54513888888888895</v>
      </c>
      <c r="D355" s="17" t="s">
        <v>564</v>
      </c>
      <c r="E355" s="5" t="s">
        <v>565</v>
      </c>
      <c r="F355" s="6" t="s">
        <v>30</v>
      </c>
    </row>
    <row r="356" spans="1:64" ht="22.5" customHeight="1" x14ac:dyDescent="0.25">
      <c r="A356" s="1">
        <v>349</v>
      </c>
      <c r="B356" s="2">
        <v>44757</v>
      </c>
      <c r="C356" s="3">
        <v>0.54861111111111105</v>
      </c>
      <c r="D356" s="17" t="s">
        <v>564</v>
      </c>
      <c r="E356" s="5" t="s">
        <v>566</v>
      </c>
      <c r="F356" s="6" t="s">
        <v>30</v>
      </c>
    </row>
    <row r="357" spans="1:64" ht="22.5" customHeight="1" x14ac:dyDescent="0.25">
      <c r="A357" s="1">
        <v>350</v>
      </c>
      <c r="B357" s="2">
        <v>44754</v>
      </c>
      <c r="C357" s="3">
        <v>0.44791666666666702</v>
      </c>
      <c r="D357" s="17" t="s">
        <v>567</v>
      </c>
      <c r="E357" s="5" t="s">
        <v>568</v>
      </c>
      <c r="F357" s="6" t="s">
        <v>90</v>
      </c>
    </row>
    <row r="358" spans="1:64" ht="22.5" customHeight="1" x14ac:dyDescent="0.25">
      <c r="A358" s="1">
        <v>351</v>
      </c>
      <c r="B358" s="2">
        <v>44754</v>
      </c>
      <c r="C358" s="3">
        <v>0.45138888888888901</v>
      </c>
      <c r="D358" s="17" t="s">
        <v>567</v>
      </c>
      <c r="E358" s="5" t="s">
        <v>568</v>
      </c>
      <c r="F358" s="6" t="s">
        <v>30</v>
      </c>
    </row>
    <row r="359" spans="1:64" ht="22.5" customHeight="1" x14ac:dyDescent="0.25">
      <c r="A359" s="1">
        <v>352</v>
      </c>
      <c r="B359" s="2">
        <v>44757</v>
      </c>
      <c r="C359" s="3">
        <v>0.55208333333333304</v>
      </c>
      <c r="D359" s="17" t="s">
        <v>569</v>
      </c>
      <c r="E359" s="5" t="s">
        <v>261</v>
      </c>
      <c r="F359" s="6" t="s">
        <v>570</v>
      </c>
    </row>
    <row r="360" spans="1:64" ht="22.5" customHeight="1" x14ac:dyDescent="0.25">
      <c r="A360" s="1">
        <v>353</v>
      </c>
      <c r="B360" s="2">
        <v>44754</v>
      </c>
      <c r="C360" s="3">
        <v>0.45486111111111099</v>
      </c>
      <c r="D360" s="17" t="s">
        <v>571</v>
      </c>
      <c r="E360" s="5" t="s">
        <v>572</v>
      </c>
      <c r="F360" s="6" t="s">
        <v>20</v>
      </c>
    </row>
    <row r="361" spans="1:64" ht="22.5" customHeight="1" x14ac:dyDescent="0.25">
      <c r="A361" s="1">
        <v>354</v>
      </c>
      <c r="B361" s="2">
        <v>44757</v>
      </c>
      <c r="C361" s="3">
        <v>0.55555555555555503</v>
      </c>
      <c r="D361" s="17" t="s">
        <v>573</v>
      </c>
      <c r="E361" s="5" t="s">
        <v>574</v>
      </c>
      <c r="F361" s="6" t="s">
        <v>25</v>
      </c>
    </row>
    <row r="362" spans="1:64" ht="28.5" customHeight="1" x14ac:dyDescent="0.25">
      <c r="A362" s="31">
        <v>355</v>
      </c>
      <c r="B362" s="32">
        <v>44757</v>
      </c>
      <c r="C362" s="33">
        <v>0.55902777777777801</v>
      </c>
      <c r="D362" s="16" t="s">
        <v>575</v>
      </c>
      <c r="E362" s="13" t="s">
        <v>576</v>
      </c>
      <c r="F362" s="13" t="s">
        <v>25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</row>
    <row r="363" spans="1:64" ht="22.5" customHeight="1" x14ac:dyDescent="0.25">
      <c r="A363" s="1">
        <v>356</v>
      </c>
      <c r="B363" s="2">
        <v>44757</v>
      </c>
      <c r="C363" s="3">
        <v>0.5625</v>
      </c>
      <c r="D363" s="17" t="s">
        <v>577</v>
      </c>
      <c r="E363" s="5" t="s">
        <v>576</v>
      </c>
      <c r="F363" s="6" t="s">
        <v>25</v>
      </c>
    </row>
    <row r="364" spans="1:64" ht="22.5" customHeight="1" x14ac:dyDescent="0.25">
      <c r="A364" s="1">
        <v>357</v>
      </c>
      <c r="B364" s="2">
        <v>44757</v>
      </c>
      <c r="C364" s="3">
        <v>0.56597222222222199</v>
      </c>
      <c r="D364" s="17" t="s">
        <v>578</v>
      </c>
      <c r="E364" s="5" t="s">
        <v>579</v>
      </c>
      <c r="F364" s="6" t="s">
        <v>25</v>
      </c>
    </row>
    <row r="365" spans="1:64" ht="22.5" customHeight="1" x14ac:dyDescent="0.25">
      <c r="A365" s="1">
        <v>358</v>
      </c>
      <c r="B365" s="2">
        <v>44757</v>
      </c>
      <c r="C365" s="3">
        <v>0.56944444444444398</v>
      </c>
      <c r="D365" s="17" t="s">
        <v>580</v>
      </c>
      <c r="E365" s="5" t="s">
        <v>581</v>
      </c>
      <c r="F365" s="6" t="s">
        <v>25</v>
      </c>
    </row>
    <row r="366" spans="1:64" ht="22.5" customHeight="1" x14ac:dyDescent="0.25">
      <c r="A366" s="1">
        <v>359</v>
      </c>
      <c r="B366" s="2">
        <v>44771</v>
      </c>
      <c r="C366" s="3">
        <v>0.39583333333333298</v>
      </c>
      <c r="D366" s="17" t="s">
        <v>582</v>
      </c>
      <c r="E366" s="5" t="s">
        <v>583</v>
      </c>
      <c r="F366" s="6" t="s">
        <v>584</v>
      </c>
    </row>
    <row r="367" spans="1:64" ht="22.5" customHeight="1" x14ac:dyDescent="0.25">
      <c r="A367" s="1">
        <v>360</v>
      </c>
      <c r="B367" s="2">
        <v>44771</v>
      </c>
      <c r="C367" s="3">
        <v>0.39930555555555602</v>
      </c>
      <c r="D367" s="17" t="s">
        <v>582</v>
      </c>
      <c r="E367" s="5" t="s">
        <v>583</v>
      </c>
      <c r="F367" s="6" t="s">
        <v>30</v>
      </c>
    </row>
    <row r="368" spans="1:64" ht="22.5" customHeight="1" x14ac:dyDescent="0.25">
      <c r="A368" s="1">
        <v>361</v>
      </c>
      <c r="B368" s="2">
        <v>44771</v>
      </c>
      <c r="C368" s="3">
        <v>0.40277777777777801</v>
      </c>
      <c r="D368" s="17" t="s">
        <v>585</v>
      </c>
      <c r="E368" s="5" t="s">
        <v>586</v>
      </c>
      <c r="F368" s="6" t="s">
        <v>151</v>
      </c>
    </row>
    <row r="369" spans="1:6" ht="22.5" customHeight="1" x14ac:dyDescent="0.25">
      <c r="A369" s="1">
        <v>362</v>
      </c>
      <c r="B369" s="2">
        <v>44771</v>
      </c>
      <c r="C369" s="3">
        <v>0.40625</v>
      </c>
      <c r="D369" s="17" t="s">
        <v>587</v>
      </c>
      <c r="E369" s="5" t="s">
        <v>586</v>
      </c>
      <c r="F369" s="6" t="s">
        <v>151</v>
      </c>
    </row>
    <row r="370" spans="1:6" ht="22.5" customHeight="1" x14ac:dyDescent="0.25">
      <c r="A370" s="1">
        <v>363</v>
      </c>
      <c r="B370" s="2">
        <v>44771</v>
      </c>
      <c r="C370" s="3">
        <v>0.40972222222222199</v>
      </c>
      <c r="D370" s="17" t="s">
        <v>588</v>
      </c>
      <c r="E370" s="5" t="s">
        <v>589</v>
      </c>
      <c r="F370" s="6" t="s">
        <v>25</v>
      </c>
    </row>
    <row r="371" spans="1:6" ht="22.5" customHeight="1" x14ac:dyDescent="0.25">
      <c r="A371" s="1">
        <v>364</v>
      </c>
      <c r="B371" s="2">
        <v>44771</v>
      </c>
      <c r="C371" s="3">
        <v>0.41319444444444398</v>
      </c>
      <c r="D371" s="17" t="s">
        <v>590</v>
      </c>
      <c r="E371" s="5" t="s">
        <v>591</v>
      </c>
      <c r="F371" s="6" t="s">
        <v>25</v>
      </c>
    </row>
    <row r="372" spans="1:6" ht="22.5" customHeight="1" x14ac:dyDescent="0.25">
      <c r="A372" s="1">
        <v>365</v>
      </c>
      <c r="B372" s="2">
        <v>44771</v>
      </c>
      <c r="C372" s="3">
        <v>0.41666666666666702</v>
      </c>
      <c r="D372" s="17" t="s">
        <v>592</v>
      </c>
      <c r="E372" s="5" t="s">
        <v>316</v>
      </c>
      <c r="F372" s="6" t="s">
        <v>317</v>
      </c>
    </row>
    <row r="373" spans="1:6" ht="22.5" customHeight="1" x14ac:dyDescent="0.25">
      <c r="A373" s="1">
        <v>366</v>
      </c>
      <c r="B373" s="2">
        <v>44771</v>
      </c>
      <c r="C373" s="3">
        <v>0.42013888888888901</v>
      </c>
      <c r="D373" s="17" t="s">
        <v>593</v>
      </c>
      <c r="E373" s="5" t="s">
        <v>594</v>
      </c>
      <c r="F373" s="6" t="s">
        <v>20</v>
      </c>
    </row>
    <row r="374" spans="1:6" ht="22.5" customHeight="1" x14ac:dyDescent="0.25">
      <c r="A374" s="1">
        <v>367</v>
      </c>
      <c r="B374" s="2">
        <v>44771</v>
      </c>
      <c r="C374" s="3">
        <v>0.42361111111111099</v>
      </c>
      <c r="D374" s="17" t="s">
        <v>595</v>
      </c>
      <c r="E374" s="5" t="s">
        <v>596</v>
      </c>
      <c r="F374" s="6" t="s">
        <v>25</v>
      </c>
    </row>
    <row r="375" spans="1:6" ht="22.5" customHeight="1" x14ac:dyDescent="0.25">
      <c r="A375" s="1">
        <v>368</v>
      </c>
      <c r="B375" s="2">
        <v>44776</v>
      </c>
      <c r="C375" s="3">
        <v>0.39583333333333298</v>
      </c>
      <c r="D375" s="17" t="s">
        <v>597</v>
      </c>
      <c r="E375" s="5" t="s">
        <v>598</v>
      </c>
      <c r="F375" s="6" t="s">
        <v>20</v>
      </c>
    </row>
    <row r="376" spans="1:6" ht="22.5" customHeight="1" x14ac:dyDescent="0.25">
      <c r="A376" s="1">
        <v>369</v>
      </c>
      <c r="B376" s="2">
        <v>44771</v>
      </c>
      <c r="C376" s="3">
        <v>0.42708333333333298</v>
      </c>
      <c r="D376" s="17" t="s">
        <v>599</v>
      </c>
      <c r="E376" s="5" t="s">
        <v>600</v>
      </c>
      <c r="F376" s="6" t="s">
        <v>25</v>
      </c>
    </row>
    <row r="377" spans="1:6" ht="22.5" customHeight="1" x14ac:dyDescent="0.25">
      <c r="A377" s="1">
        <v>370</v>
      </c>
      <c r="B377" s="2">
        <v>44771</v>
      </c>
      <c r="C377" s="3">
        <v>0.43055555555555602</v>
      </c>
      <c r="D377" s="17" t="s">
        <v>601</v>
      </c>
      <c r="E377" s="5" t="s">
        <v>600</v>
      </c>
      <c r="F377" s="6" t="s">
        <v>25</v>
      </c>
    </row>
    <row r="378" spans="1:6" ht="22.5" customHeight="1" x14ac:dyDescent="0.25">
      <c r="A378" s="1">
        <v>371</v>
      </c>
      <c r="B378" s="2">
        <v>44771</v>
      </c>
      <c r="C378" s="3">
        <v>0.43402777777777801</v>
      </c>
      <c r="D378" s="17" t="s">
        <v>602</v>
      </c>
      <c r="E378" s="5" t="s">
        <v>603</v>
      </c>
      <c r="F378" s="6" t="s">
        <v>476</v>
      </c>
    </row>
    <row r="379" spans="1:6" ht="22.5" customHeight="1" x14ac:dyDescent="0.25">
      <c r="A379" s="1">
        <v>372</v>
      </c>
      <c r="B379" s="2">
        <v>44771</v>
      </c>
      <c r="C379" s="3">
        <v>0.4375</v>
      </c>
      <c r="D379" s="17" t="s">
        <v>604</v>
      </c>
      <c r="E379" s="5" t="s">
        <v>475</v>
      </c>
      <c r="F379" s="6" t="s">
        <v>476</v>
      </c>
    </row>
    <row r="380" spans="1:6" ht="22.5" customHeight="1" x14ac:dyDescent="0.25">
      <c r="A380" s="1">
        <v>373</v>
      </c>
      <c r="B380" s="2">
        <v>44771</v>
      </c>
      <c r="C380" s="3">
        <v>0.44097222222222199</v>
      </c>
      <c r="D380" s="17" t="s">
        <v>605</v>
      </c>
      <c r="E380" s="5" t="s">
        <v>468</v>
      </c>
      <c r="F380" s="6" t="s">
        <v>30</v>
      </c>
    </row>
    <row r="381" spans="1:6" ht="22.5" customHeight="1" x14ac:dyDescent="0.25">
      <c r="A381" s="1">
        <v>374</v>
      </c>
      <c r="B381" s="2">
        <v>44776</v>
      </c>
      <c r="C381" s="3">
        <v>0.39930555555555602</v>
      </c>
      <c r="D381" s="17" t="s">
        <v>606</v>
      </c>
      <c r="E381" s="5" t="s">
        <v>607</v>
      </c>
      <c r="F381" s="6" t="s">
        <v>25</v>
      </c>
    </row>
    <row r="382" spans="1:6" ht="22.5" customHeight="1" x14ac:dyDescent="0.25">
      <c r="A382" s="1">
        <v>375</v>
      </c>
      <c r="B382" s="2">
        <v>44776</v>
      </c>
      <c r="C382" s="3">
        <v>0.40277777777777801</v>
      </c>
      <c r="D382" s="17" t="s">
        <v>536</v>
      </c>
      <c r="E382" s="5" t="s">
        <v>537</v>
      </c>
      <c r="F382" s="6" t="s">
        <v>254</v>
      </c>
    </row>
    <row r="383" spans="1:6" ht="22.5" customHeight="1" x14ac:dyDescent="0.25">
      <c r="A383" s="1">
        <v>376</v>
      </c>
      <c r="B383" s="2">
        <v>44776</v>
      </c>
      <c r="C383" s="3">
        <v>0.40625</v>
      </c>
      <c r="D383" s="17" t="s">
        <v>608</v>
      </c>
      <c r="E383" s="5" t="s">
        <v>609</v>
      </c>
      <c r="F383" s="6" t="s">
        <v>610</v>
      </c>
    </row>
    <row r="384" spans="1:6" ht="22.5" customHeight="1" x14ac:dyDescent="0.25">
      <c r="A384" s="1">
        <v>377</v>
      </c>
      <c r="B384" s="2">
        <v>44776</v>
      </c>
      <c r="C384" s="3">
        <v>0.40972222222222199</v>
      </c>
      <c r="D384" s="17" t="s">
        <v>529</v>
      </c>
      <c r="E384" s="5" t="s">
        <v>530</v>
      </c>
      <c r="F384" s="6" t="s">
        <v>42</v>
      </c>
    </row>
    <row r="385" spans="1:6" ht="22.5" customHeight="1" x14ac:dyDescent="0.25">
      <c r="A385" s="1">
        <v>378</v>
      </c>
      <c r="B385" s="2">
        <v>44776</v>
      </c>
      <c r="C385" s="3">
        <v>0.41319444444444398</v>
      </c>
      <c r="D385" s="17" t="s">
        <v>529</v>
      </c>
      <c r="E385" s="5" t="s">
        <v>530</v>
      </c>
      <c r="F385" s="6" t="s">
        <v>20</v>
      </c>
    </row>
    <row r="386" spans="1:6" ht="22.5" customHeight="1" x14ac:dyDescent="0.25">
      <c r="A386" s="1">
        <v>379</v>
      </c>
      <c r="B386" s="2">
        <v>44776</v>
      </c>
      <c r="C386" s="3">
        <v>0.41666666666666702</v>
      </c>
      <c r="D386" s="17" t="s">
        <v>529</v>
      </c>
      <c r="E386" s="5" t="s">
        <v>530</v>
      </c>
      <c r="F386" s="6" t="s">
        <v>20</v>
      </c>
    </row>
    <row r="387" spans="1:6" ht="22.5" customHeight="1" x14ac:dyDescent="0.25">
      <c r="A387" s="1">
        <v>380</v>
      </c>
      <c r="B387" s="2">
        <v>44776</v>
      </c>
      <c r="C387" s="3">
        <v>0.42013888888888901</v>
      </c>
      <c r="D387" s="17" t="s">
        <v>611</v>
      </c>
      <c r="E387" s="5" t="s">
        <v>612</v>
      </c>
      <c r="F387" s="6" t="s">
        <v>30</v>
      </c>
    </row>
    <row r="388" spans="1:6" ht="22.5" customHeight="1" x14ac:dyDescent="0.35">
      <c r="A388" s="1">
        <v>381</v>
      </c>
      <c r="B388" s="2">
        <v>44776</v>
      </c>
      <c r="C388" s="3">
        <v>0.42361111111111099</v>
      </c>
      <c r="D388" s="4" t="s">
        <v>611</v>
      </c>
      <c r="E388" s="5" t="s">
        <v>612</v>
      </c>
      <c r="F388" s="40" t="s">
        <v>613</v>
      </c>
    </row>
    <row r="389" spans="1:6" ht="22.5" customHeight="1" x14ac:dyDescent="0.25">
      <c r="A389" s="1">
        <v>382</v>
      </c>
      <c r="B389" s="2">
        <v>44776</v>
      </c>
      <c r="C389" s="3">
        <v>0.42708333333333298</v>
      </c>
      <c r="D389" s="4" t="s">
        <v>614</v>
      </c>
      <c r="E389" s="5" t="s">
        <v>268</v>
      </c>
      <c r="F389" s="6" t="s">
        <v>30</v>
      </c>
    </row>
    <row r="390" spans="1:6" ht="22.5" customHeight="1" x14ac:dyDescent="0.25">
      <c r="A390" s="1">
        <v>383</v>
      </c>
      <c r="B390" s="2">
        <v>44783</v>
      </c>
      <c r="C390" s="3">
        <v>0.39583333333333298</v>
      </c>
      <c r="D390" s="4" t="s">
        <v>615</v>
      </c>
      <c r="E390" s="5" t="s">
        <v>616</v>
      </c>
      <c r="F390" s="6" t="s">
        <v>25</v>
      </c>
    </row>
    <row r="391" spans="1:6" ht="22.5" customHeight="1" x14ac:dyDescent="0.25">
      <c r="A391" s="1">
        <v>384</v>
      </c>
      <c r="B391" s="2">
        <v>44783</v>
      </c>
      <c r="C391" s="3">
        <v>0.39930555555555602</v>
      </c>
      <c r="D391" s="4" t="s">
        <v>617</v>
      </c>
      <c r="E391" s="5" t="s">
        <v>618</v>
      </c>
      <c r="F391" s="6" t="s">
        <v>20</v>
      </c>
    </row>
    <row r="392" spans="1:6" ht="22.5" customHeight="1" x14ac:dyDescent="0.25">
      <c r="A392" s="1">
        <v>385</v>
      </c>
      <c r="B392" s="2">
        <v>44783</v>
      </c>
      <c r="C392" s="3">
        <v>0.40277777777777801</v>
      </c>
      <c r="D392" s="4" t="s">
        <v>619</v>
      </c>
      <c r="E392" s="5" t="s">
        <v>38</v>
      </c>
      <c r="F392" s="6" t="s">
        <v>30</v>
      </c>
    </row>
    <row r="393" spans="1:6" ht="22.5" customHeight="1" x14ac:dyDescent="0.25">
      <c r="A393" s="1">
        <v>386</v>
      </c>
      <c r="B393" s="2">
        <v>44783</v>
      </c>
      <c r="C393" s="3">
        <v>0.40625</v>
      </c>
      <c r="D393" s="4" t="s">
        <v>620</v>
      </c>
      <c r="E393" s="5" t="s">
        <v>621</v>
      </c>
      <c r="F393" s="6" t="s">
        <v>622</v>
      </c>
    </row>
    <row r="394" spans="1:6" ht="22.5" customHeight="1" x14ac:dyDescent="0.25">
      <c r="A394" s="1">
        <v>387</v>
      </c>
      <c r="B394" s="2">
        <v>44783</v>
      </c>
      <c r="C394" s="3">
        <v>0.40972222222222199</v>
      </c>
      <c r="D394" s="4" t="s">
        <v>623</v>
      </c>
      <c r="E394" s="5" t="s">
        <v>550</v>
      </c>
      <c r="F394" s="6" t="s">
        <v>25</v>
      </c>
    </row>
    <row r="395" spans="1:6" ht="22.5" customHeight="1" x14ac:dyDescent="0.25">
      <c r="A395" s="1">
        <v>388</v>
      </c>
      <c r="B395" s="2">
        <v>44783</v>
      </c>
      <c r="C395" s="3">
        <v>0.41319444444444398</v>
      </c>
      <c r="D395" s="4" t="s">
        <v>624</v>
      </c>
      <c r="E395" s="5" t="s">
        <v>94</v>
      </c>
      <c r="F395" s="6" t="s">
        <v>20</v>
      </c>
    </row>
    <row r="396" spans="1:6" ht="22.5" customHeight="1" x14ac:dyDescent="0.25">
      <c r="A396" s="1">
        <v>389</v>
      </c>
      <c r="B396" s="2">
        <v>44783</v>
      </c>
      <c r="C396" s="3">
        <v>0.41666666666666702</v>
      </c>
      <c r="D396" s="4" t="s">
        <v>580</v>
      </c>
      <c r="E396" s="5" t="s">
        <v>625</v>
      </c>
      <c r="F396" s="6" t="s">
        <v>25</v>
      </c>
    </row>
    <row r="397" spans="1:6" ht="22.5" customHeight="1" x14ac:dyDescent="0.25">
      <c r="A397" s="1">
        <v>390</v>
      </c>
      <c r="B397" s="2">
        <v>44783</v>
      </c>
      <c r="C397" s="3">
        <v>0.42013888888888901</v>
      </c>
      <c r="D397" s="4" t="s">
        <v>626</v>
      </c>
      <c r="E397" s="5" t="s">
        <v>627</v>
      </c>
      <c r="F397" s="6" t="s">
        <v>25</v>
      </c>
    </row>
    <row r="398" spans="1:6" ht="22.5" customHeight="1" x14ac:dyDescent="0.25">
      <c r="A398" s="1">
        <v>391</v>
      </c>
      <c r="B398" s="2">
        <v>44783</v>
      </c>
      <c r="C398" s="3">
        <v>0.42361111111111099</v>
      </c>
      <c r="D398" s="4" t="s">
        <v>628</v>
      </c>
      <c r="E398" s="5" t="s">
        <v>629</v>
      </c>
      <c r="F398" s="6" t="s">
        <v>379</v>
      </c>
    </row>
    <row r="399" spans="1:6" ht="22.5" customHeight="1" x14ac:dyDescent="0.25">
      <c r="A399" s="1">
        <v>392</v>
      </c>
      <c r="B399" s="2">
        <v>44783</v>
      </c>
      <c r="C399" s="3">
        <v>0.42708333333333298</v>
      </c>
      <c r="D399" s="4" t="s">
        <v>630</v>
      </c>
      <c r="E399" s="5" t="s">
        <v>629</v>
      </c>
      <c r="F399" s="6" t="s">
        <v>379</v>
      </c>
    </row>
    <row r="400" spans="1:6" ht="22.5" customHeight="1" x14ac:dyDescent="0.25">
      <c r="A400" s="1">
        <v>393</v>
      </c>
      <c r="B400" s="2">
        <v>44776</v>
      </c>
      <c r="C400" s="3">
        <v>0.43055555555555602</v>
      </c>
      <c r="D400" s="4" t="s">
        <v>631</v>
      </c>
      <c r="E400" s="5" t="s">
        <v>632</v>
      </c>
      <c r="F400" s="6" t="s">
        <v>71</v>
      </c>
    </row>
    <row r="401" spans="1:6" ht="22.5" customHeight="1" x14ac:dyDescent="0.25">
      <c r="A401" s="1">
        <v>394</v>
      </c>
      <c r="B401" s="2">
        <v>44776</v>
      </c>
      <c r="C401" s="3">
        <v>0.43402777777777801</v>
      </c>
      <c r="D401" s="4" t="s">
        <v>633</v>
      </c>
      <c r="E401" s="5" t="s">
        <v>632</v>
      </c>
      <c r="F401" s="6" t="s">
        <v>71</v>
      </c>
    </row>
    <row r="402" spans="1:6" ht="22.5" customHeight="1" x14ac:dyDescent="0.25">
      <c r="A402" s="1">
        <v>395</v>
      </c>
      <c r="B402" s="2">
        <v>44790</v>
      </c>
      <c r="C402" s="3">
        <v>0.39930555555555602</v>
      </c>
      <c r="D402" s="4" t="s">
        <v>634</v>
      </c>
      <c r="E402" s="5" t="s">
        <v>493</v>
      </c>
      <c r="F402" s="6" t="s">
        <v>635</v>
      </c>
    </row>
    <row r="403" spans="1:6" ht="22.5" customHeight="1" x14ac:dyDescent="0.25">
      <c r="A403" s="1">
        <v>400</v>
      </c>
      <c r="B403" s="2">
        <v>44790</v>
      </c>
      <c r="C403" s="3">
        <v>0.39583333333333298</v>
      </c>
      <c r="D403" s="4" t="s">
        <v>636</v>
      </c>
      <c r="E403" s="5" t="s">
        <v>589</v>
      </c>
      <c r="F403" s="6" t="s">
        <v>637</v>
      </c>
    </row>
    <row r="404" spans="1:6" x14ac:dyDescent="0.25">
      <c r="A404" s="1">
        <v>401</v>
      </c>
      <c r="B404" s="2">
        <v>44790</v>
      </c>
      <c r="C404" s="3">
        <v>0.40277777777777801</v>
      </c>
      <c r="D404" s="4" t="s">
        <v>638</v>
      </c>
      <c r="E404" s="5" t="s">
        <v>639</v>
      </c>
      <c r="F404" s="6" t="s">
        <v>637</v>
      </c>
    </row>
    <row r="405" spans="1:6" x14ac:dyDescent="0.25">
      <c r="A405" s="1">
        <v>402</v>
      </c>
      <c r="B405" s="2">
        <v>44790</v>
      </c>
      <c r="C405" s="3">
        <v>0.40625</v>
      </c>
      <c r="D405" s="4" t="s">
        <v>640</v>
      </c>
      <c r="E405" s="5" t="s">
        <v>641</v>
      </c>
      <c r="F405" s="6" t="s">
        <v>25</v>
      </c>
    </row>
    <row r="406" spans="1:6" x14ac:dyDescent="0.25">
      <c r="A406" s="1">
        <v>404</v>
      </c>
      <c r="B406" s="2">
        <v>44790</v>
      </c>
      <c r="C406" s="3">
        <v>0.40972222222222199</v>
      </c>
      <c r="D406" s="4" t="s">
        <v>642</v>
      </c>
      <c r="E406" s="5" t="s">
        <v>643</v>
      </c>
      <c r="F406" s="6" t="s">
        <v>644</v>
      </c>
    </row>
    <row r="407" spans="1:6" ht="25" x14ac:dyDescent="0.25">
      <c r="A407" s="31" t="s">
        <v>645</v>
      </c>
      <c r="B407" s="41">
        <v>44790</v>
      </c>
      <c r="C407" s="42">
        <v>0.41319444444444398</v>
      </c>
      <c r="D407" s="13" t="s">
        <v>646</v>
      </c>
      <c r="E407" s="43" t="s">
        <v>647</v>
      </c>
      <c r="F407" s="13" t="s">
        <v>648</v>
      </c>
    </row>
    <row r="408" spans="1:6" ht="25" x14ac:dyDescent="0.25">
      <c r="A408" s="1">
        <v>396</v>
      </c>
      <c r="B408" s="2">
        <v>44797</v>
      </c>
      <c r="C408" s="3">
        <v>0.39583333333333298</v>
      </c>
      <c r="D408" s="4" t="s">
        <v>649</v>
      </c>
      <c r="E408" s="5" t="s">
        <v>650</v>
      </c>
      <c r="F408" s="6" t="s">
        <v>20</v>
      </c>
    </row>
    <row r="409" spans="1:6" x14ac:dyDescent="0.25">
      <c r="A409" s="1">
        <v>397</v>
      </c>
      <c r="B409" s="2">
        <v>44797</v>
      </c>
      <c r="C409" s="3">
        <v>0.39930555555555602</v>
      </c>
      <c r="D409" s="4" t="s">
        <v>651</v>
      </c>
      <c r="E409" s="5" t="s">
        <v>652</v>
      </c>
      <c r="F409" s="6" t="s">
        <v>653</v>
      </c>
    </row>
    <row r="410" spans="1:6" x14ac:dyDescent="0.25">
      <c r="A410" s="1">
        <v>398</v>
      </c>
      <c r="B410" s="2">
        <v>44797</v>
      </c>
      <c r="C410" s="3">
        <v>0.40277777777777801</v>
      </c>
      <c r="D410" s="4" t="s">
        <v>654</v>
      </c>
      <c r="E410" s="5" t="s">
        <v>655</v>
      </c>
      <c r="F410" s="6" t="s">
        <v>71</v>
      </c>
    </row>
    <row r="411" spans="1:6" x14ac:dyDescent="0.25">
      <c r="A411" s="44">
        <v>399</v>
      </c>
      <c r="B411" s="45">
        <v>44797</v>
      </c>
      <c r="C411" s="46">
        <v>0.40625</v>
      </c>
      <c r="D411" s="47" t="s">
        <v>656</v>
      </c>
      <c r="E411" s="23" t="s">
        <v>657</v>
      </c>
      <c r="F411" s="48" t="s">
        <v>25</v>
      </c>
    </row>
    <row r="412" spans="1:6" x14ac:dyDescent="0.25">
      <c r="A412" s="1">
        <v>403</v>
      </c>
      <c r="B412" s="2">
        <v>44797</v>
      </c>
      <c r="C412" s="3">
        <v>0.40972222222222199</v>
      </c>
      <c r="D412" s="4" t="s">
        <v>658</v>
      </c>
      <c r="E412" s="5" t="s">
        <v>659</v>
      </c>
      <c r="F412" s="6" t="s">
        <v>660</v>
      </c>
    </row>
    <row r="413" spans="1:6" ht="25" x14ac:dyDescent="0.25">
      <c r="A413" s="1">
        <v>405</v>
      </c>
      <c r="B413" s="2">
        <v>44797</v>
      </c>
      <c r="C413" s="3">
        <v>0.41319444444444398</v>
      </c>
      <c r="D413" s="4" t="s">
        <v>661</v>
      </c>
      <c r="E413" s="5" t="s">
        <v>662</v>
      </c>
      <c r="F413" s="6" t="s">
        <v>25</v>
      </c>
    </row>
    <row r="414" spans="1:6" x14ac:dyDescent="0.25">
      <c r="A414" s="1">
        <v>406</v>
      </c>
      <c r="B414" s="2">
        <v>44797</v>
      </c>
      <c r="C414" s="3">
        <v>0.41666666666666702</v>
      </c>
      <c r="D414" s="4" t="s">
        <v>663</v>
      </c>
      <c r="E414" s="5" t="s">
        <v>664</v>
      </c>
      <c r="F414" s="6" t="s">
        <v>458</v>
      </c>
    </row>
    <row r="415" spans="1:6" x14ac:dyDescent="0.25">
      <c r="A415" s="1">
        <v>407</v>
      </c>
      <c r="B415" s="2">
        <v>44797</v>
      </c>
      <c r="C415" s="3">
        <v>0.42013888888888901</v>
      </c>
      <c r="D415" s="4" t="s">
        <v>665</v>
      </c>
      <c r="E415" s="5" t="s">
        <v>666</v>
      </c>
      <c r="F415" s="6" t="s">
        <v>667</v>
      </c>
    </row>
    <row r="416" spans="1:6" x14ac:dyDescent="0.25">
      <c r="A416" s="1">
        <v>408</v>
      </c>
      <c r="B416" s="2">
        <v>44797</v>
      </c>
      <c r="C416" s="3">
        <v>0.42361111111111099</v>
      </c>
      <c r="D416" s="4" t="s">
        <v>668</v>
      </c>
      <c r="E416" s="5" t="s">
        <v>38</v>
      </c>
      <c r="F416" s="6" t="s">
        <v>90</v>
      </c>
    </row>
    <row r="417" spans="1:6" x14ac:dyDescent="0.25">
      <c r="A417" s="49">
        <v>409</v>
      </c>
      <c r="B417" s="50">
        <v>44797</v>
      </c>
      <c r="C417" s="51">
        <v>0.42708333333333298</v>
      </c>
      <c r="D417" s="4" t="s">
        <v>669</v>
      </c>
      <c r="E417" s="5" t="s">
        <v>259</v>
      </c>
      <c r="F417" s="6" t="s">
        <v>90</v>
      </c>
    </row>
    <row r="418" spans="1:6" x14ac:dyDescent="0.25">
      <c r="A418" s="1">
        <v>410</v>
      </c>
      <c r="B418" s="2">
        <v>44797</v>
      </c>
      <c r="C418" s="3">
        <v>0.43055555555555602</v>
      </c>
      <c r="D418" s="4" t="s">
        <v>670</v>
      </c>
      <c r="E418" s="5" t="s">
        <v>671</v>
      </c>
      <c r="F418" s="6" t="s">
        <v>90</v>
      </c>
    </row>
    <row r="419" spans="1:6" ht="25" x14ac:dyDescent="0.25">
      <c r="A419" s="1" t="s">
        <v>672</v>
      </c>
      <c r="B419" s="2">
        <v>44796</v>
      </c>
      <c r="C419" s="3">
        <v>0.54166666666666696</v>
      </c>
      <c r="D419" s="4" t="s">
        <v>673</v>
      </c>
      <c r="E419" s="5" t="s">
        <v>674</v>
      </c>
      <c r="F419" s="6" t="s">
        <v>675</v>
      </c>
    </row>
    <row r="420" spans="1:6" x14ac:dyDescent="0.25">
      <c r="A420" s="1">
        <v>411</v>
      </c>
      <c r="B420" s="2">
        <v>44811</v>
      </c>
      <c r="C420" s="3">
        <v>0.39583333333333298</v>
      </c>
      <c r="D420" s="4" t="s">
        <v>676</v>
      </c>
      <c r="E420" s="5" t="s">
        <v>677</v>
      </c>
      <c r="F420" s="6" t="s">
        <v>90</v>
      </c>
    </row>
    <row r="421" spans="1:6" x14ac:dyDescent="0.25">
      <c r="A421" s="1">
        <v>412</v>
      </c>
      <c r="B421" s="2">
        <v>44811</v>
      </c>
      <c r="C421" s="3">
        <v>0.39930555555555602</v>
      </c>
      <c r="D421" s="4" t="s">
        <v>678</v>
      </c>
      <c r="E421" s="5" t="s">
        <v>679</v>
      </c>
      <c r="F421" s="6" t="s">
        <v>20</v>
      </c>
    </row>
    <row r="422" spans="1:6" x14ac:dyDescent="0.25">
      <c r="A422" s="1">
        <v>413</v>
      </c>
      <c r="B422" s="2">
        <v>44811</v>
      </c>
      <c r="C422" s="3">
        <v>0.40277777777777801</v>
      </c>
      <c r="D422" s="4" t="s">
        <v>680</v>
      </c>
      <c r="E422" s="5" t="s">
        <v>681</v>
      </c>
      <c r="F422" s="6" t="s">
        <v>397</v>
      </c>
    </row>
    <row r="423" spans="1:6" x14ac:dyDescent="0.25">
      <c r="A423" s="31">
        <v>414</v>
      </c>
      <c r="B423" s="32">
        <v>44818</v>
      </c>
      <c r="C423" s="33">
        <v>0.39583333333333298</v>
      </c>
      <c r="D423" s="31" t="s">
        <v>682</v>
      </c>
      <c r="E423" s="43" t="s">
        <v>683</v>
      </c>
      <c r="F423" s="13" t="s">
        <v>25</v>
      </c>
    </row>
    <row r="424" spans="1:6" x14ac:dyDescent="0.25">
      <c r="A424" s="31">
        <v>415</v>
      </c>
      <c r="B424" s="32">
        <v>44818</v>
      </c>
      <c r="C424" s="33">
        <v>0.39930555555555602</v>
      </c>
      <c r="D424" s="31" t="s">
        <v>684</v>
      </c>
      <c r="E424" s="43" t="s">
        <v>683</v>
      </c>
      <c r="F424" s="13" t="s">
        <v>25</v>
      </c>
    </row>
    <row r="425" spans="1:6" x14ac:dyDescent="0.25">
      <c r="A425" s="31">
        <v>416</v>
      </c>
      <c r="B425" s="32">
        <v>44818</v>
      </c>
      <c r="C425" s="33">
        <v>0.40277777777777801</v>
      </c>
      <c r="D425" s="31" t="s">
        <v>685</v>
      </c>
      <c r="E425" s="43" t="s">
        <v>683</v>
      </c>
      <c r="F425" s="13" t="s">
        <v>25</v>
      </c>
    </row>
    <row r="426" spans="1:6" ht="25" x14ac:dyDescent="0.25">
      <c r="A426" s="31">
        <v>417</v>
      </c>
      <c r="B426" s="32">
        <v>44811</v>
      </c>
      <c r="C426" s="33">
        <v>0.41666666666666702</v>
      </c>
      <c r="D426" s="31" t="s">
        <v>686</v>
      </c>
      <c r="E426" s="43" t="s">
        <v>687</v>
      </c>
      <c r="F426" s="13" t="s">
        <v>20</v>
      </c>
    </row>
    <row r="427" spans="1:6" ht="25" x14ac:dyDescent="0.25">
      <c r="A427" s="31">
        <v>418</v>
      </c>
      <c r="B427" s="32">
        <v>44811</v>
      </c>
      <c r="C427" s="33">
        <v>0.42013888888888901</v>
      </c>
      <c r="D427" s="31" t="s">
        <v>688</v>
      </c>
      <c r="E427" s="43" t="s">
        <v>687</v>
      </c>
      <c r="F427" s="13" t="s">
        <v>20</v>
      </c>
    </row>
    <row r="428" spans="1:6" ht="25" x14ac:dyDescent="0.25">
      <c r="A428" s="31">
        <v>419</v>
      </c>
      <c r="B428" s="32">
        <v>44818</v>
      </c>
      <c r="C428" s="33">
        <v>0.41319444444444398</v>
      </c>
      <c r="D428" s="31" t="s">
        <v>689</v>
      </c>
      <c r="E428" s="43" t="s">
        <v>690</v>
      </c>
      <c r="F428" s="13" t="s">
        <v>25</v>
      </c>
    </row>
    <row r="429" spans="1:6" ht="25" x14ac:dyDescent="0.25">
      <c r="A429" s="31">
        <v>420</v>
      </c>
      <c r="B429" s="32">
        <v>44811</v>
      </c>
      <c r="C429" s="33">
        <v>0.40625</v>
      </c>
      <c r="D429" s="31" t="s">
        <v>691</v>
      </c>
      <c r="E429" s="43" t="s">
        <v>687</v>
      </c>
      <c r="F429" s="13" t="s">
        <v>20</v>
      </c>
    </row>
    <row r="430" spans="1:6" ht="25" x14ac:dyDescent="0.25">
      <c r="A430" s="31">
        <v>421</v>
      </c>
      <c r="B430" s="32">
        <v>44811</v>
      </c>
      <c r="C430" s="33">
        <v>0.40972222222222199</v>
      </c>
      <c r="D430" s="31" t="s">
        <v>692</v>
      </c>
      <c r="E430" s="43" t="s">
        <v>687</v>
      </c>
      <c r="F430" s="6" t="s">
        <v>20</v>
      </c>
    </row>
    <row r="431" spans="1:6" x14ac:dyDescent="0.25">
      <c r="A431" s="31">
        <v>422</v>
      </c>
      <c r="B431" s="32">
        <v>44818</v>
      </c>
      <c r="C431" s="33">
        <v>0.40625</v>
      </c>
      <c r="D431" s="31" t="s">
        <v>651</v>
      </c>
      <c r="E431" s="17" t="s">
        <v>693</v>
      </c>
      <c r="F431" s="6" t="s">
        <v>694</v>
      </c>
    </row>
    <row r="432" spans="1:6" x14ac:dyDescent="0.25">
      <c r="A432" s="1">
        <v>423</v>
      </c>
      <c r="B432" s="2">
        <v>44811</v>
      </c>
      <c r="C432" s="3">
        <v>0.41319444444444398</v>
      </c>
      <c r="D432" s="4" t="s">
        <v>695</v>
      </c>
      <c r="E432" s="5" t="s">
        <v>696</v>
      </c>
      <c r="F432" s="6" t="s">
        <v>697</v>
      </c>
    </row>
    <row r="433" spans="1:6" ht="25" x14ac:dyDescent="0.25">
      <c r="A433" s="1">
        <v>424</v>
      </c>
      <c r="B433" s="2">
        <v>44811</v>
      </c>
      <c r="C433" s="3">
        <v>0.42708333333333298</v>
      </c>
      <c r="D433" s="4" t="s">
        <v>698</v>
      </c>
      <c r="E433" s="5" t="s">
        <v>699</v>
      </c>
      <c r="F433" s="6" t="s">
        <v>30</v>
      </c>
    </row>
    <row r="434" spans="1:6" x14ac:dyDescent="0.25">
      <c r="A434" s="1">
        <v>425</v>
      </c>
      <c r="B434" s="2">
        <v>44818</v>
      </c>
      <c r="C434" s="3">
        <v>0.40972222222222199</v>
      </c>
      <c r="D434" s="4" t="s">
        <v>700</v>
      </c>
      <c r="E434" s="5" t="s">
        <v>701</v>
      </c>
      <c r="F434" s="6" t="s">
        <v>702</v>
      </c>
    </row>
    <row r="1048576" ht="12.75" customHeight="1" x14ac:dyDescent="0.25"/>
  </sheetData>
  <pageMargins left="0.78749999999999998" right="0.78749999999999998" top="0.78472222222222199" bottom="0.78749999999999998" header="0.51944444444444404" footer="0.511811023622047"/>
  <pageSetup paperSize="9" scale="93" orientation="portrait" horizontalDpi="300" verticalDpi="300"/>
  <headerFooter>
    <oddHeader>&amp;C&amp;"Times New Roman,Normal"&amp;12ACTOS DE CONCILIACIONES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F1048576"/>
  <sheetViews>
    <sheetView tabSelected="1" zoomScaleNormal="100" workbookViewId="0">
      <pane ySplit="1" topLeftCell="A432" activePane="bottomLeft" state="frozen"/>
      <selection activeCell="B1" sqref="B1"/>
      <selection pane="bottomLeft" activeCell="K435" sqref="K435"/>
    </sheetView>
  </sheetViews>
  <sheetFormatPr baseColWidth="10" defaultColWidth="10" defaultRowHeight="12.5" x14ac:dyDescent="0.25"/>
  <cols>
    <col min="1" max="1" width="23" style="52" customWidth="1"/>
    <col min="2" max="2" width="10" style="1"/>
    <col min="3" max="3" width="13" style="2" customWidth="1"/>
    <col min="4" max="4" width="8.453125" style="3" customWidth="1"/>
    <col min="5" max="5" width="41.453125" style="6" customWidth="1"/>
    <col min="6" max="6" width="19.453125" style="53" customWidth="1"/>
    <col min="7" max="7" width="39.453125" style="54" customWidth="1"/>
    <col min="8" max="8" width="13" style="161" customWidth="1"/>
    <col min="9" max="9" width="32.1796875" style="55" customWidth="1"/>
    <col min="10" max="10" width="13.453125" style="54" customWidth="1"/>
    <col min="11" max="11" width="255.54296875" style="6" customWidth="1"/>
    <col min="12" max="58" width="11.54296875" style="6" customWidth="1"/>
  </cols>
  <sheetData>
    <row r="1" spans="1:58" ht="30.75" customHeight="1" thickBot="1" x14ac:dyDescent="0.3">
      <c r="A1" s="53" t="s">
        <v>703</v>
      </c>
      <c r="B1" s="56" t="str">
        <f>Hoja1!A:A</f>
        <v>Nº EXP.</v>
      </c>
      <c r="C1" s="8" t="str">
        <f>Hoja1!B:B</f>
        <v>DÍA</v>
      </c>
      <c r="D1" s="9" t="str">
        <f>Hoja1!C:C</f>
        <v>HORA</v>
      </c>
      <c r="E1" s="57" t="str">
        <f>Hoja1!D:D</f>
        <v>TRABAJADOR/A</v>
      </c>
      <c r="F1" s="58" t="s">
        <v>704</v>
      </c>
      <c r="G1" s="59" t="s">
        <v>705</v>
      </c>
      <c r="H1" s="159" t="s">
        <v>706</v>
      </c>
      <c r="I1" s="60" t="str">
        <f>Hoja1!E:E</f>
        <v>EMPRESAS</v>
      </c>
      <c r="J1" s="59" t="s">
        <v>707</v>
      </c>
      <c r="K1" s="57" t="str">
        <f>Hoja1!F:F</f>
        <v>MOTIVOS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</row>
    <row r="2" spans="1:58" ht="25.5" customHeight="1" x14ac:dyDescent="0.25">
      <c r="A2" s="61">
        <v>45636</v>
      </c>
      <c r="B2" s="113">
        <v>1</v>
      </c>
      <c r="C2" s="32">
        <v>45659</v>
      </c>
      <c r="D2" s="33">
        <v>0.39583333333333331</v>
      </c>
      <c r="E2" s="13" t="s">
        <v>712</v>
      </c>
      <c r="F2" s="62" t="s">
        <v>713</v>
      </c>
      <c r="G2" s="62"/>
      <c r="H2" s="160"/>
      <c r="I2" s="43" t="s">
        <v>715</v>
      </c>
      <c r="J2" s="54" t="s">
        <v>714</v>
      </c>
      <c r="K2" s="13" t="s">
        <v>71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ht="22.5" customHeight="1" x14ac:dyDescent="0.25">
      <c r="A3" s="61">
        <v>45637</v>
      </c>
      <c r="B3" s="31">
        <v>2</v>
      </c>
      <c r="C3" s="32">
        <v>45659</v>
      </c>
      <c r="D3" s="33">
        <v>0.39930555555555558</v>
      </c>
      <c r="E3" s="13" t="s">
        <v>716</v>
      </c>
      <c r="F3" s="63" t="s">
        <v>717</v>
      </c>
      <c r="G3" s="62" t="s">
        <v>718</v>
      </c>
      <c r="H3" s="160" t="s">
        <v>719</v>
      </c>
      <c r="I3" s="43" t="s">
        <v>720</v>
      </c>
      <c r="J3" s="54" t="s">
        <v>721</v>
      </c>
      <c r="K3" s="13" t="s">
        <v>722</v>
      </c>
    </row>
    <row r="4" spans="1:58" ht="22.5" customHeight="1" x14ac:dyDescent="0.25">
      <c r="A4" s="61">
        <v>45631</v>
      </c>
      <c r="B4" s="31">
        <v>3</v>
      </c>
      <c r="C4" s="32">
        <v>45659</v>
      </c>
      <c r="D4" s="33">
        <v>0.40277777777777779</v>
      </c>
      <c r="E4" s="13" t="s">
        <v>723</v>
      </c>
      <c r="F4" s="63" t="s">
        <v>724</v>
      </c>
      <c r="G4" s="62" t="s">
        <v>725</v>
      </c>
      <c r="H4" s="160" t="s">
        <v>726</v>
      </c>
      <c r="I4" s="43" t="s">
        <v>727</v>
      </c>
      <c r="J4" s="54" t="s">
        <v>728</v>
      </c>
      <c r="K4" s="13" t="s">
        <v>729</v>
      </c>
    </row>
    <row r="5" spans="1:58" ht="22.5" customHeight="1" x14ac:dyDescent="0.25">
      <c r="A5" s="61">
        <v>45639</v>
      </c>
      <c r="B5" s="31">
        <v>4</v>
      </c>
      <c r="C5" s="32">
        <v>45659</v>
      </c>
      <c r="D5" s="33">
        <v>0.40625</v>
      </c>
      <c r="E5" s="13" t="s">
        <v>730</v>
      </c>
      <c r="F5" s="63" t="s">
        <v>731</v>
      </c>
      <c r="G5" s="62" t="s">
        <v>718</v>
      </c>
      <c r="H5" s="160" t="s">
        <v>719</v>
      </c>
      <c r="I5" s="43" t="s">
        <v>732</v>
      </c>
      <c r="J5" s="54" t="s">
        <v>733</v>
      </c>
      <c r="K5" s="13" t="s">
        <v>148</v>
      </c>
    </row>
    <row r="6" spans="1:58" ht="22.5" customHeight="1" x14ac:dyDescent="0.25">
      <c r="A6" s="61">
        <v>45639</v>
      </c>
      <c r="B6" s="31">
        <v>5</v>
      </c>
      <c r="C6" s="32">
        <v>45666</v>
      </c>
      <c r="D6" s="33">
        <v>0.39583333333333331</v>
      </c>
      <c r="E6" s="13" t="s">
        <v>734</v>
      </c>
      <c r="F6" s="63" t="s">
        <v>735</v>
      </c>
      <c r="G6" s="62" t="s">
        <v>736</v>
      </c>
      <c r="H6" s="160" t="s">
        <v>737</v>
      </c>
      <c r="I6" s="43" t="s">
        <v>738</v>
      </c>
      <c r="J6" s="54" t="s">
        <v>739</v>
      </c>
      <c r="K6" s="13" t="s">
        <v>740</v>
      </c>
    </row>
    <row r="7" spans="1:58" ht="22.5" customHeight="1" x14ac:dyDescent="0.25">
      <c r="A7" s="61">
        <v>45639</v>
      </c>
      <c r="B7" s="31">
        <v>6</v>
      </c>
      <c r="C7" s="32">
        <v>45659</v>
      </c>
      <c r="D7" s="33">
        <v>0.40972222222222221</v>
      </c>
      <c r="E7" s="13" t="s">
        <v>741</v>
      </c>
      <c r="F7" s="63" t="s">
        <v>742</v>
      </c>
      <c r="G7" s="62" t="s">
        <v>718</v>
      </c>
      <c r="H7" s="160" t="s">
        <v>719</v>
      </c>
      <c r="I7" s="43" t="s">
        <v>743</v>
      </c>
      <c r="J7" s="54" t="s">
        <v>744</v>
      </c>
      <c r="K7" s="13" t="s">
        <v>745</v>
      </c>
    </row>
    <row r="8" spans="1:58" ht="74.150000000000006" customHeight="1" x14ac:dyDescent="0.25">
      <c r="A8" s="61">
        <v>45639</v>
      </c>
      <c r="B8" s="31">
        <v>7</v>
      </c>
      <c r="C8" s="32">
        <v>45666</v>
      </c>
      <c r="D8" s="33">
        <v>0.39930555555555558</v>
      </c>
      <c r="E8" s="13" t="s">
        <v>746</v>
      </c>
      <c r="F8" s="63" t="s">
        <v>747</v>
      </c>
      <c r="G8" s="62" t="s">
        <v>718</v>
      </c>
      <c r="H8" s="160" t="s">
        <v>719</v>
      </c>
      <c r="I8" s="43" t="s">
        <v>748</v>
      </c>
      <c r="J8" s="54" t="s">
        <v>749</v>
      </c>
      <c r="K8" s="13" t="s">
        <v>750</v>
      </c>
    </row>
    <row r="9" spans="1:58" ht="22.5" hidden="1" customHeight="1" x14ac:dyDescent="0.25">
      <c r="A9" s="61">
        <v>45643</v>
      </c>
      <c r="B9" s="31">
        <v>8</v>
      </c>
      <c r="C9" s="41">
        <v>45659</v>
      </c>
      <c r="D9" s="42">
        <v>0.41319444444444442</v>
      </c>
      <c r="E9" s="13" t="s">
        <v>751</v>
      </c>
      <c r="F9" s="53" t="s">
        <v>752</v>
      </c>
      <c r="G9" s="62" t="s">
        <v>753</v>
      </c>
      <c r="H9" s="62" t="s">
        <v>754</v>
      </c>
      <c r="I9" s="43" t="s">
        <v>755</v>
      </c>
      <c r="J9" s="54" t="s">
        <v>756</v>
      </c>
      <c r="K9" s="13" t="s">
        <v>25</v>
      </c>
    </row>
    <row r="10" spans="1:58" ht="22.5" customHeight="1" x14ac:dyDescent="0.25">
      <c r="A10" s="61">
        <v>45644</v>
      </c>
      <c r="B10" s="31">
        <v>9</v>
      </c>
      <c r="C10" s="32">
        <v>45659</v>
      </c>
      <c r="D10" s="33">
        <v>0.41666666666666669</v>
      </c>
      <c r="E10" s="13" t="s">
        <v>757</v>
      </c>
      <c r="F10" s="53" t="s">
        <v>758</v>
      </c>
      <c r="G10" s="62" t="s">
        <v>736</v>
      </c>
      <c r="H10" s="160" t="s">
        <v>737</v>
      </c>
      <c r="I10" s="43" t="s">
        <v>184</v>
      </c>
      <c r="J10" s="54" t="s">
        <v>759</v>
      </c>
      <c r="K10" s="13" t="s">
        <v>760</v>
      </c>
    </row>
    <row r="11" spans="1:58" ht="22.5" customHeight="1" x14ac:dyDescent="0.25">
      <c r="A11" s="61">
        <v>45644</v>
      </c>
      <c r="B11" s="31">
        <v>10</v>
      </c>
      <c r="C11" s="32">
        <v>45666</v>
      </c>
      <c r="D11" s="33">
        <v>0.40277777777777779</v>
      </c>
      <c r="E11" s="13" t="s">
        <v>209</v>
      </c>
      <c r="F11" s="53" t="s">
        <v>761</v>
      </c>
      <c r="G11" s="62" t="s">
        <v>762</v>
      </c>
      <c r="H11" s="160" t="s">
        <v>763</v>
      </c>
      <c r="I11" s="43" t="s">
        <v>118</v>
      </c>
      <c r="J11" s="54" t="s">
        <v>764</v>
      </c>
      <c r="K11" s="13" t="s">
        <v>765</v>
      </c>
    </row>
    <row r="12" spans="1:58" ht="62.25" customHeight="1" x14ac:dyDescent="0.25">
      <c r="A12" s="61">
        <v>45644</v>
      </c>
      <c r="B12" s="31">
        <v>11</v>
      </c>
      <c r="C12" s="32">
        <v>45659</v>
      </c>
      <c r="D12" s="33">
        <v>0.4236111111111111</v>
      </c>
      <c r="E12" s="13" t="s">
        <v>766</v>
      </c>
      <c r="F12" s="53" t="s">
        <v>767</v>
      </c>
      <c r="G12" s="62" t="s">
        <v>768</v>
      </c>
      <c r="H12" s="161" t="s">
        <v>769</v>
      </c>
      <c r="I12" s="43" t="s">
        <v>376</v>
      </c>
      <c r="J12" s="54" t="s">
        <v>770</v>
      </c>
      <c r="K12" s="13" t="s">
        <v>192</v>
      </c>
    </row>
    <row r="13" spans="1:58" ht="22.5" customHeight="1" x14ac:dyDescent="0.25">
      <c r="A13" s="61">
        <v>45645</v>
      </c>
      <c r="B13" s="31">
        <v>12</v>
      </c>
      <c r="C13" s="32">
        <v>45666</v>
      </c>
      <c r="D13" s="33">
        <v>0.40625</v>
      </c>
      <c r="E13" s="13" t="s">
        <v>771</v>
      </c>
      <c r="F13" t="s">
        <v>772</v>
      </c>
      <c r="G13" s="62" t="s">
        <v>773</v>
      </c>
      <c r="H13" s="161" t="s">
        <v>777</v>
      </c>
      <c r="I13" s="43" t="s">
        <v>774</v>
      </c>
      <c r="J13" s="49" t="s">
        <v>775</v>
      </c>
      <c r="K13" s="13" t="s">
        <v>776</v>
      </c>
    </row>
    <row r="14" spans="1:58" ht="22.5" customHeight="1" x14ac:dyDescent="0.25">
      <c r="A14" s="61">
        <v>45645</v>
      </c>
      <c r="B14" s="31">
        <v>13</v>
      </c>
      <c r="C14" s="32">
        <v>45666</v>
      </c>
      <c r="D14" s="33">
        <v>0.40972222222222221</v>
      </c>
      <c r="E14" t="s">
        <v>778</v>
      </c>
      <c r="F14" s="53" t="s">
        <v>783</v>
      </c>
      <c r="G14" s="62" t="s">
        <v>779</v>
      </c>
      <c r="H14" s="161" t="s">
        <v>784</v>
      </c>
      <c r="I14" s="43" t="s">
        <v>780</v>
      </c>
      <c r="J14" s="49" t="s">
        <v>781</v>
      </c>
      <c r="K14" s="13" t="s">
        <v>782</v>
      </c>
    </row>
    <row r="15" spans="1:58" ht="22.5" hidden="1" customHeight="1" x14ac:dyDescent="0.25">
      <c r="A15" s="61">
        <v>45646</v>
      </c>
      <c r="B15" s="31">
        <v>14</v>
      </c>
      <c r="C15" s="41">
        <v>45666</v>
      </c>
      <c r="D15" s="42">
        <v>0.41319444444444442</v>
      </c>
      <c r="E15" s="13" t="s">
        <v>785</v>
      </c>
      <c r="F15" t="s">
        <v>786</v>
      </c>
      <c r="G15" s="62"/>
      <c r="H15" s="54"/>
      <c r="I15" s="43" t="s">
        <v>787</v>
      </c>
      <c r="J15" s="114" t="s">
        <v>788</v>
      </c>
      <c r="K15" s="13" t="s">
        <v>789</v>
      </c>
    </row>
    <row r="16" spans="1:58" ht="53.25" customHeight="1" x14ac:dyDescent="0.25">
      <c r="A16" s="61">
        <v>45649</v>
      </c>
      <c r="B16" s="31">
        <v>15</v>
      </c>
      <c r="C16" s="32">
        <v>45666</v>
      </c>
      <c r="D16" s="33">
        <v>0.41666666666666669</v>
      </c>
      <c r="E16" s="13" t="s">
        <v>790</v>
      </c>
      <c r="F16" t="s">
        <v>791</v>
      </c>
      <c r="G16" s="62"/>
      <c r="I16" s="43" t="s">
        <v>792</v>
      </c>
      <c r="J16" s="54" t="s">
        <v>793</v>
      </c>
      <c r="K16" s="13" t="s">
        <v>25</v>
      </c>
    </row>
    <row r="17" spans="1:11" ht="48" customHeight="1" x14ac:dyDescent="0.25">
      <c r="A17" s="61">
        <v>45649</v>
      </c>
      <c r="B17" s="31">
        <v>16</v>
      </c>
      <c r="C17" s="32">
        <v>45666</v>
      </c>
      <c r="D17" s="33">
        <v>0.4201388888888889</v>
      </c>
      <c r="E17" t="s">
        <v>794</v>
      </c>
      <c r="F17" t="s">
        <v>795</v>
      </c>
      <c r="G17" s="62" t="s">
        <v>800</v>
      </c>
      <c r="H17" s="162" t="s">
        <v>796</v>
      </c>
      <c r="I17" s="43" t="s">
        <v>797</v>
      </c>
      <c r="J17" s="54" t="s">
        <v>798</v>
      </c>
      <c r="K17" s="13" t="s">
        <v>799</v>
      </c>
    </row>
    <row r="18" spans="1:11" ht="22.5" customHeight="1" x14ac:dyDescent="0.25">
      <c r="A18" s="61">
        <v>45652</v>
      </c>
      <c r="B18" s="31">
        <v>17</v>
      </c>
      <c r="C18" s="32">
        <v>45666</v>
      </c>
      <c r="D18" s="33">
        <v>0.4236111111111111</v>
      </c>
      <c r="E18" s="13" t="s">
        <v>801</v>
      </c>
      <c r="F18" t="s">
        <v>802</v>
      </c>
      <c r="G18" s="62" t="s">
        <v>718</v>
      </c>
      <c r="H18" s="160" t="s">
        <v>719</v>
      </c>
      <c r="I18" t="s">
        <v>803</v>
      </c>
      <c r="J18" s="49" t="s">
        <v>804</v>
      </c>
      <c r="K18" s="13" t="s">
        <v>192</v>
      </c>
    </row>
    <row r="19" spans="1:11" ht="22.5" customHeight="1" x14ac:dyDescent="0.25">
      <c r="A19" s="61">
        <v>45652</v>
      </c>
      <c r="B19" s="31">
        <v>18</v>
      </c>
      <c r="C19" s="32">
        <v>45666</v>
      </c>
      <c r="D19" s="33">
        <v>0.42708333333333331</v>
      </c>
      <c r="E19" s="13" t="s">
        <v>805</v>
      </c>
      <c r="F19" s="53" t="s">
        <v>806</v>
      </c>
      <c r="G19" s="62" t="s">
        <v>718</v>
      </c>
      <c r="H19" s="160" t="s">
        <v>719</v>
      </c>
      <c r="I19" s="43" t="s">
        <v>807</v>
      </c>
      <c r="J19" s="54" t="s">
        <v>808</v>
      </c>
      <c r="K19" s="13" t="s">
        <v>90</v>
      </c>
    </row>
    <row r="20" spans="1:11" ht="22.5" customHeight="1" x14ac:dyDescent="0.25">
      <c r="A20" s="61">
        <v>45652</v>
      </c>
      <c r="B20" s="31">
        <v>19</v>
      </c>
      <c r="C20" s="32">
        <v>45666</v>
      </c>
      <c r="D20" s="33">
        <v>0.43055555555555558</v>
      </c>
      <c r="E20" s="13" t="s">
        <v>809</v>
      </c>
      <c r="F20" s="53" t="s">
        <v>810</v>
      </c>
      <c r="G20" s="62" t="s">
        <v>718</v>
      </c>
      <c r="H20" s="160" t="s">
        <v>719</v>
      </c>
      <c r="I20" s="43" t="s">
        <v>811</v>
      </c>
      <c r="J20" s="54" t="s">
        <v>812</v>
      </c>
      <c r="K20" s="13" t="s">
        <v>813</v>
      </c>
    </row>
    <row r="21" spans="1:11" ht="62.5" x14ac:dyDescent="0.25">
      <c r="A21" s="61">
        <v>45652</v>
      </c>
      <c r="B21" s="31">
        <v>20</v>
      </c>
      <c r="C21" s="32">
        <v>45666</v>
      </c>
      <c r="D21" s="33">
        <v>0.43402777777777779</v>
      </c>
      <c r="E21" s="13" t="s">
        <v>814</v>
      </c>
      <c r="F21" s="53" t="s">
        <v>815</v>
      </c>
      <c r="G21" s="62"/>
      <c r="I21" s="43" t="s">
        <v>820</v>
      </c>
      <c r="J21" s="54" t="s">
        <v>818</v>
      </c>
      <c r="K21" s="13" t="s">
        <v>192</v>
      </c>
    </row>
    <row r="22" spans="1:11" ht="37.5" x14ac:dyDescent="0.25">
      <c r="A22" s="61">
        <v>45652</v>
      </c>
      <c r="B22" s="31">
        <v>21</v>
      </c>
      <c r="C22" s="32">
        <v>45666</v>
      </c>
      <c r="D22" s="33">
        <v>0.4375</v>
      </c>
      <c r="E22" s="13" t="s">
        <v>816</v>
      </c>
      <c r="F22" s="53" t="s">
        <v>817</v>
      </c>
      <c r="G22" s="62"/>
      <c r="I22" s="43" t="s">
        <v>821</v>
      </c>
      <c r="J22" s="54" t="s">
        <v>819</v>
      </c>
      <c r="K22" s="13" t="s">
        <v>192</v>
      </c>
    </row>
    <row r="23" spans="1:11" ht="22.5" customHeight="1" x14ac:dyDescent="0.25">
      <c r="A23" s="61">
        <v>45654</v>
      </c>
      <c r="B23" s="31">
        <v>22</v>
      </c>
      <c r="C23" s="32">
        <v>45673</v>
      </c>
      <c r="D23" s="33">
        <v>0.4375</v>
      </c>
      <c r="E23" s="13" t="s">
        <v>822</v>
      </c>
      <c r="F23" s="53" t="s">
        <v>823</v>
      </c>
      <c r="G23" s="62"/>
      <c r="I23" s="43" t="s">
        <v>824</v>
      </c>
      <c r="J23" s="54" t="s">
        <v>825</v>
      </c>
      <c r="K23" s="13" t="s">
        <v>826</v>
      </c>
    </row>
    <row r="24" spans="1:11" ht="22.5" customHeight="1" x14ac:dyDescent="0.25">
      <c r="A24" s="61">
        <v>45653</v>
      </c>
      <c r="B24" s="31">
        <v>23</v>
      </c>
      <c r="C24" s="32">
        <v>45673</v>
      </c>
      <c r="D24" s="33">
        <v>0.44097222222222221</v>
      </c>
      <c r="E24" s="115">
        <v>45659</v>
      </c>
      <c r="F24" s="53" t="s">
        <v>827</v>
      </c>
      <c r="G24" s="62" t="s">
        <v>736</v>
      </c>
      <c r="H24" s="161" t="s">
        <v>737</v>
      </c>
      <c r="I24" s="43" t="s">
        <v>828</v>
      </c>
      <c r="J24" s="54" t="s">
        <v>829</v>
      </c>
      <c r="K24" s="13" t="s">
        <v>246</v>
      </c>
    </row>
    <row r="25" spans="1:11" ht="22.5" customHeight="1" x14ac:dyDescent="0.25">
      <c r="A25" s="61">
        <v>45653</v>
      </c>
      <c r="B25" s="31">
        <v>24</v>
      </c>
      <c r="C25" s="32">
        <v>45673</v>
      </c>
      <c r="D25" s="33">
        <v>0.44444444444444442</v>
      </c>
      <c r="E25" s="13" t="s">
        <v>830</v>
      </c>
      <c r="F25" s="53" t="s">
        <v>831</v>
      </c>
      <c r="G25" s="62" t="s">
        <v>736</v>
      </c>
      <c r="H25" s="161" t="s">
        <v>737</v>
      </c>
      <c r="I25" s="43" t="s">
        <v>832</v>
      </c>
      <c r="J25" s="54" t="s">
        <v>833</v>
      </c>
      <c r="K25" s="13" t="s">
        <v>407</v>
      </c>
    </row>
    <row r="26" spans="1:11" ht="22.5" customHeight="1" x14ac:dyDescent="0.25">
      <c r="A26" s="61">
        <v>45653</v>
      </c>
      <c r="B26" s="31">
        <v>25</v>
      </c>
      <c r="C26" s="32">
        <v>45673</v>
      </c>
      <c r="D26" s="33">
        <v>0.44791666666666669</v>
      </c>
      <c r="E26" s="13" t="s">
        <v>834</v>
      </c>
      <c r="F26" s="53" t="s">
        <v>835</v>
      </c>
      <c r="G26" s="62" t="s">
        <v>736</v>
      </c>
      <c r="H26" s="161" t="s">
        <v>737</v>
      </c>
      <c r="I26" s="43" t="s">
        <v>429</v>
      </c>
      <c r="J26" s="54" t="s">
        <v>836</v>
      </c>
      <c r="K26" s="13" t="s">
        <v>42</v>
      </c>
    </row>
    <row r="27" spans="1:11" ht="22.5" customHeight="1" x14ac:dyDescent="0.25">
      <c r="A27" s="61">
        <v>45656</v>
      </c>
      <c r="B27" s="31">
        <v>26</v>
      </c>
      <c r="C27" s="32">
        <v>45673</v>
      </c>
      <c r="D27" s="33">
        <v>0.52083333333333337</v>
      </c>
      <c r="E27" s="13" t="s">
        <v>837</v>
      </c>
      <c r="F27" s="53" t="s">
        <v>838</v>
      </c>
      <c r="G27" s="62" t="s">
        <v>839</v>
      </c>
      <c r="H27" s="161" t="s">
        <v>840</v>
      </c>
      <c r="I27" s="43" t="s">
        <v>841</v>
      </c>
      <c r="J27" s="54" t="s">
        <v>842</v>
      </c>
      <c r="K27" s="13" t="s">
        <v>25</v>
      </c>
    </row>
    <row r="28" spans="1:11" ht="22.5" customHeight="1" x14ac:dyDescent="0.25">
      <c r="A28" s="61">
        <v>45659</v>
      </c>
      <c r="B28" s="31">
        <v>27</v>
      </c>
      <c r="C28" s="32">
        <v>45673</v>
      </c>
      <c r="D28" s="33">
        <v>0.4513888888888889</v>
      </c>
      <c r="E28" s="13" t="s">
        <v>843</v>
      </c>
      <c r="F28" s="53" t="s">
        <v>844</v>
      </c>
      <c r="G28" s="62"/>
      <c r="I28" s="43" t="s">
        <v>845</v>
      </c>
      <c r="J28" s="54" t="s">
        <v>846</v>
      </c>
      <c r="K28" s="13" t="s">
        <v>847</v>
      </c>
    </row>
    <row r="29" spans="1:11" ht="22.5" customHeight="1" x14ac:dyDescent="0.25">
      <c r="A29" s="61">
        <v>45659</v>
      </c>
      <c r="B29" s="31">
        <v>28</v>
      </c>
      <c r="C29" s="32">
        <v>45673</v>
      </c>
      <c r="D29" s="33">
        <v>0.4548611111111111</v>
      </c>
      <c r="E29" s="13" t="s">
        <v>848</v>
      </c>
      <c r="F29" s="53" t="s">
        <v>849</v>
      </c>
      <c r="G29" s="62" t="s">
        <v>718</v>
      </c>
      <c r="H29" s="161" t="s">
        <v>719</v>
      </c>
      <c r="I29" s="43" t="s">
        <v>850</v>
      </c>
      <c r="J29" s="54" t="s">
        <v>851</v>
      </c>
      <c r="K29" s="13" t="s">
        <v>20</v>
      </c>
    </row>
    <row r="30" spans="1:11" ht="22.5" customHeight="1" x14ac:dyDescent="0.25">
      <c r="A30" s="61">
        <v>45659</v>
      </c>
      <c r="B30" s="31">
        <v>29</v>
      </c>
      <c r="C30" s="32">
        <v>45673</v>
      </c>
      <c r="D30" s="33">
        <v>0.45833333333333331</v>
      </c>
      <c r="E30" s="13" t="s">
        <v>852</v>
      </c>
      <c r="F30" s="53" t="s">
        <v>853</v>
      </c>
      <c r="G30" s="62" t="s">
        <v>854</v>
      </c>
      <c r="H30" s="161" t="s">
        <v>855</v>
      </c>
      <c r="I30" s="43" t="s">
        <v>856</v>
      </c>
      <c r="J30" s="54" t="s">
        <v>857</v>
      </c>
      <c r="K30" s="13" t="s">
        <v>858</v>
      </c>
    </row>
    <row r="31" spans="1:11" ht="22.5" customHeight="1" x14ac:dyDescent="0.25">
      <c r="A31" s="61">
        <v>45659</v>
      </c>
      <c r="B31" s="31">
        <v>30</v>
      </c>
      <c r="C31" s="32">
        <v>45673</v>
      </c>
      <c r="D31" s="33">
        <v>0.46180555555555558</v>
      </c>
      <c r="E31" s="13" t="s">
        <v>859</v>
      </c>
      <c r="F31" s="53" t="s">
        <v>860</v>
      </c>
      <c r="G31" s="62" t="s">
        <v>718</v>
      </c>
      <c r="H31" s="161" t="s">
        <v>719</v>
      </c>
      <c r="I31" s="43" t="s">
        <v>861</v>
      </c>
      <c r="J31" s="54" t="s">
        <v>804</v>
      </c>
      <c r="K31" s="13" t="s">
        <v>745</v>
      </c>
    </row>
    <row r="32" spans="1:11" ht="22.5" customHeight="1" x14ac:dyDescent="0.25">
      <c r="A32" s="61">
        <v>45659</v>
      </c>
      <c r="B32" s="31">
        <v>31</v>
      </c>
      <c r="C32" s="32">
        <v>45673</v>
      </c>
      <c r="D32" s="33">
        <v>0.52430555555555558</v>
      </c>
      <c r="E32" s="13" t="s">
        <v>862</v>
      </c>
      <c r="F32" s="53" t="s">
        <v>863</v>
      </c>
      <c r="G32" s="62" t="s">
        <v>839</v>
      </c>
      <c r="H32" s="161" t="s">
        <v>840</v>
      </c>
      <c r="I32" s="43" t="s">
        <v>864</v>
      </c>
      <c r="J32" s="54" t="s">
        <v>865</v>
      </c>
      <c r="K32" s="13" t="s">
        <v>25</v>
      </c>
    </row>
    <row r="33" spans="1:11" ht="22.5" customHeight="1" x14ac:dyDescent="0.25">
      <c r="A33" s="61">
        <v>45659</v>
      </c>
      <c r="B33" s="31">
        <v>32</v>
      </c>
      <c r="C33" s="32">
        <v>45673</v>
      </c>
      <c r="D33" s="33">
        <v>0.52777777777777779</v>
      </c>
      <c r="E33" s="13" t="s">
        <v>866</v>
      </c>
      <c r="F33" s="53" t="s">
        <v>867</v>
      </c>
      <c r="G33" s="62" t="s">
        <v>839</v>
      </c>
      <c r="H33" s="161" t="s">
        <v>840</v>
      </c>
      <c r="I33" s="43" t="s">
        <v>868</v>
      </c>
      <c r="J33" s="54" t="s">
        <v>869</v>
      </c>
      <c r="K33" s="13" t="s">
        <v>25</v>
      </c>
    </row>
    <row r="34" spans="1:11" ht="22.5" customHeight="1" x14ac:dyDescent="0.25">
      <c r="A34" s="61">
        <v>45660</v>
      </c>
      <c r="B34" s="31">
        <v>33</v>
      </c>
      <c r="C34" s="32">
        <v>45673</v>
      </c>
      <c r="D34" s="33">
        <v>0.46527777777777779</v>
      </c>
      <c r="E34" s="13" t="s">
        <v>870</v>
      </c>
      <c r="F34" s="53" t="s">
        <v>871</v>
      </c>
      <c r="G34" s="62" t="s">
        <v>736</v>
      </c>
      <c r="H34" s="161" t="s">
        <v>737</v>
      </c>
      <c r="I34" s="43" t="s">
        <v>832</v>
      </c>
      <c r="J34" s="54" t="s">
        <v>833</v>
      </c>
      <c r="K34" s="13" t="s">
        <v>407</v>
      </c>
    </row>
    <row r="35" spans="1:11" ht="22.5" customHeight="1" x14ac:dyDescent="0.25">
      <c r="A35" s="61">
        <v>45660</v>
      </c>
      <c r="B35" s="31">
        <v>34</v>
      </c>
      <c r="C35" s="32">
        <v>45673</v>
      </c>
      <c r="D35" s="33">
        <v>0.53125</v>
      </c>
      <c r="E35" s="6" t="s">
        <v>874</v>
      </c>
      <c r="F35" s="53" t="s">
        <v>876</v>
      </c>
      <c r="G35" s="62" t="s">
        <v>839</v>
      </c>
      <c r="H35" s="161" t="s">
        <v>840</v>
      </c>
      <c r="I35" s="55" t="s">
        <v>872</v>
      </c>
      <c r="J35" s="54" t="s">
        <v>857</v>
      </c>
      <c r="K35" s="13" t="s">
        <v>25</v>
      </c>
    </row>
    <row r="36" spans="1:11" ht="22.5" customHeight="1" x14ac:dyDescent="0.25">
      <c r="A36" s="61">
        <v>45660</v>
      </c>
      <c r="B36" s="31">
        <v>35</v>
      </c>
      <c r="C36" s="32">
        <v>45673</v>
      </c>
      <c r="D36" s="33">
        <v>0.53472222222222221</v>
      </c>
      <c r="E36" s="6" t="s">
        <v>873</v>
      </c>
      <c r="F36" s="53" t="s">
        <v>875</v>
      </c>
      <c r="G36" s="62" t="s">
        <v>839</v>
      </c>
      <c r="H36" s="161" t="s">
        <v>840</v>
      </c>
      <c r="I36" s="55" t="s">
        <v>872</v>
      </c>
      <c r="J36" s="54" t="s">
        <v>857</v>
      </c>
      <c r="K36" s="13" t="s">
        <v>25</v>
      </c>
    </row>
    <row r="37" spans="1:11" ht="22.5" customHeight="1" x14ac:dyDescent="0.25">
      <c r="A37" s="61">
        <v>45660</v>
      </c>
      <c r="B37" s="31">
        <v>36</v>
      </c>
      <c r="C37" s="32">
        <v>45673</v>
      </c>
      <c r="D37" s="33">
        <v>0.46875</v>
      </c>
      <c r="E37" s="6" t="s">
        <v>877</v>
      </c>
      <c r="F37" s="53" t="s">
        <v>878</v>
      </c>
      <c r="G37" s="54" t="s">
        <v>879</v>
      </c>
      <c r="H37" s="163" t="s">
        <v>880</v>
      </c>
      <c r="I37" s="55" t="s">
        <v>727</v>
      </c>
      <c r="J37" s="54" t="s">
        <v>728</v>
      </c>
      <c r="K37" s="13" t="s">
        <v>881</v>
      </c>
    </row>
    <row r="38" spans="1:11" ht="22.5" customHeight="1" x14ac:dyDescent="0.25">
      <c r="A38" s="65">
        <v>45660</v>
      </c>
      <c r="B38" s="31">
        <v>37</v>
      </c>
      <c r="C38" s="32">
        <v>45680</v>
      </c>
      <c r="D38" s="33">
        <v>0.39583333333333331</v>
      </c>
      <c r="E38" s="6" t="s">
        <v>882</v>
      </c>
      <c r="F38" s="53" t="s">
        <v>883</v>
      </c>
      <c r="G38" s="62" t="s">
        <v>736</v>
      </c>
      <c r="H38" s="161" t="s">
        <v>737</v>
      </c>
      <c r="I38" s="55" t="s">
        <v>884</v>
      </c>
      <c r="J38" s="54" t="s">
        <v>885</v>
      </c>
      <c r="K38" s="13" t="s">
        <v>886</v>
      </c>
    </row>
    <row r="39" spans="1:11" ht="22.5" customHeight="1" x14ac:dyDescent="0.25">
      <c r="A39" s="65">
        <v>45660</v>
      </c>
      <c r="B39" s="31">
        <v>38</v>
      </c>
      <c r="C39" s="32">
        <v>45680</v>
      </c>
      <c r="D39" s="33">
        <v>0.375</v>
      </c>
      <c r="E39" s="6" t="s">
        <v>889</v>
      </c>
      <c r="F39" s="53" t="s">
        <v>890</v>
      </c>
      <c r="G39" s="62" t="s">
        <v>839</v>
      </c>
      <c r="H39" s="161" t="s">
        <v>840</v>
      </c>
      <c r="I39" s="55" t="s">
        <v>887</v>
      </c>
      <c r="J39" s="54" t="s">
        <v>888</v>
      </c>
      <c r="K39" s="13" t="s">
        <v>20</v>
      </c>
    </row>
    <row r="40" spans="1:11" ht="22.5" customHeight="1" x14ac:dyDescent="0.25">
      <c r="A40" s="65">
        <v>45660</v>
      </c>
      <c r="B40" s="31">
        <v>39</v>
      </c>
      <c r="C40" s="32">
        <v>45680</v>
      </c>
      <c r="D40" s="33">
        <v>0.37847222222222221</v>
      </c>
      <c r="E40" s="13" t="s">
        <v>891</v>
      </c>
      <c r="F40" s="53" t="s">
        <v>892</v>
      </c>
      <c r="G40" s="62" t="s">
        <v>839</v>
      </c>
      <c r="H40" s="161" t="s">
        <v>840</v>
      </c>
      <c r="I40" s="55" t="s">
        <v>887</v>
      </c>
      <c r="J40" s="54" t="s">
        <v>888</v>
      </c>
      <c r="K40" s="13" t="s">
        <v>20</v>
      </c>
    </row>
    <row r="41" spans="1:11" ht="22.5" customHeight="1" x14ac:dyDescent="0.25">
      <c r="A41" s="65">
        <v>45662</v>
      </c>
      <c r="B41" s="31">
        <v>40</v>
      </c>
      <c r="C41" s="32">
        <v>45680</v>
      </c>
      <c r="D41" s="33">
        <v>0.39930555555555558</v>
      </c>
      <c r="E41" s="6" t="s">
        <v>893</v>
      </c>
      <c r="F41" s="53" t="s">
        <v>894</v>
      </c>
      <c r="G41" s="62" t="s">
        <v>718</v>
      </c>
      <c r="H41" s="161" t="s">
        <v>719</v>
      </c>
      <c r="I41" s="43" t="s">
        <v>895</v>
      </c>
      <c r="J41" s="54" t="s">
        <v>896</v>
      </c>
      <c r="K41" s="13" t="s">
        <v>750</v>
      </c>
    </row>
    <row r="42" spans="1:11" ht="22.5" customHeight="1" x14ac:dyDescent="0.25">
      <c r="A42" s="65">
        <v>45664</v>
      </c>
      <c r="B42" s="31">
        <v>41</v>
      </c>
      <c r="C42" s="32">
        <v>45680</v>
      </c>
      <c r="D42" s="33">
        <v>0.40277777777777779</v>
      </c>
      <c r="E42" s="6" t="s">
        <v>897</v>
      </c>
      <c r="F42" s="53" t="s">
        <v>898</v>
      </c>
      <c r="G42" s="62" t="s">
        <v>899</v>
      </c>
      <c r="H42" s="161" t="s">
        <v>900</v>
      </c>
      <c r="I42" s="43" t="s">
        <v>901</v>
      </c>
      <c r="J42" s="54" t="s">
        <v>902</v>
      </c>
      <c r="K42" s="13" t="s">
        <v>903</v>
      </c>
    </row>
    <row r="43" spans="1:11" ht="22.5" customHeight="1" x14ac:dyDescent="0.25">
      <c r="A43" s="65">
        <v>45665</v>
      </c>
      <c r="B43" s="31">
        <v>42</v>
      </c>
      <c r="C43" s="32">
        <v>45680</v>
      </c>
      <c r="D43" s="33">
        <v>0.40625</v>
      </c>
      <c r="E43" s="13" t="s">
        <v>904</v>
      </c>
      <c r="F43" s="53" t="s">
        <v>905</v>
      </c>
      <c r="G43" s="62" t="s">
        <v>906</v>
      </c>
      <c r="H43" s="161" t="s">
        <v>737</v>
      </c>
      <c r="I43" s="43" t="s">
        <v>907</v>
      </c>
      <c r="J43" s="54" t="s">
        <v>908</v>
      </c>
      <c r="K43" s="13" t="s">
        <v>909</v>
      </c>
    </row>
    <row r="44" spans="1:11" ht="22.5" customHeight="1" x14ac:dyDescent="0.25">
      <c r="A44" s="65">
        <v>45665</v>
      </c>
      <c r="B44" s="31">
        <v>43</v>
      </c>
      <c r="C44" s="32">
        <v>45680</v>
      </c>
      <c r="D44" s="33">
        <v>0.40972222222222221</v>
      </c>
      <c r="E44" s="6" t="s">
        <v>910</v>
      </c>
      <c r="F44" s="53" t="s">
        <v>911</v>
      </c>
      <c r="G44" s="66" t="s">
        <v>736</v>
      </c>
      <c r="H44" s="161" t="s">
        <v>737</v>
      </c>
      <c r="I44" s="22" t="s">
        <v>912</v>
      </c>
      <c r="J44" s="157" t="s">
        <v>913</v>
      </c>
      <c r="K44" s="13" t="s">
        <v>914</v>
      </c>
    </row>
    <row r="45" spans="1:11" ht="22.5" hidden="1" customHeight="1" x14ac:dyDescent="0.25">
      <c r="A45" s="65">
        <v>45665</v>
      </c>
      <c r="B45" s="31">
        <v>44</v>
      </c>
      <c r="C45" s="41">
        <v>45680</v>
      </c>
      <c r="D45" s="42">
        <v>0.41319444444444442</v>
      </c>
      <c r="E45" t="s">
        <v>915</v>
      </c>
      <c r="F45" s="53" t="s">
        <v>783</v>
      </c>
      <c r="G45" s="62" t="s">
        <v>779</v>
      </c>
      <c r="H45" s="54" t="s">
        <v>784</v>
      </c>
      <c r="I45" s="43" t="s">
        <v>780</v>
      </c>
      <c r="J45" t="s">
        <v>781</v>
      </c>
      <c r="K45" s="13" t="s">
        <v>782</v>
      </c>
    </row>
    <row r="46" spans="1:11" ht="22.5" customHeight="1" x14ac:dyDescent="0.25">
      <c r="A46" s="65">
        <v>45666</v>
      </c>
      <c r="B46" s="31">
        <v>45</v>
      </c>
      <c r="C46" s="32">
        <v>45680</v>
      </c>
      <c r="D46" s="33">
        <v>0.41666666666666669</v>
      </c>
      <c r="E46" s="6" t="s">
        <v>916</v>
      </c>
      <c r="F46" s="53">
        <v>60167233</v>
      </c>
      <c r="G46" s="66"/>
      <c r="I46" s="22" t="s">
        <v>917</v>
      </c>
      <c r="J46" s="157" t="s">
        <v>918</v>
      </c>
      <c r="K46" s="13" t="s">
        <v>919</v>
      </c>
    </row>
    <row r="47" spans="1:11" ht="22.5" customHeight="1" x14ac:dyDescent="0.25">
      <c r="A47" s="65">
        <v>45666</v>
      </c>
      <c r="B47" s="31">
        <v>46</v>
      </c>
      <c r="C47" s="32">
        <v>45680</v>
      </c>
      <c r="D47" s="33">
        <v>0.4201388888888889</v>
      </c>
      <c r="E47" s="6" t="s">
        <v>534</v>
      </c>
      <c r="F47" s="53" t="s">
        <v>920</v>
      </c>
      <c r="G47" s="66" t="s">
        <v>854</v>
      </c>
      <c r="H47" s="161" t="s">
        <v>855</v>
      </c>
      <c r="I47" s="22" t="s">
        <v>921</v>
      </c>
      <c r="J47" s="157" t="s">
        <v>922</v>
      </c>
      <c r="K47" s="13" t="s">
        <v>30</v>
      </c>
    </row>
    <row r="48" spans="1:11" ht="22.5" customHeight="1" x14ac:dyDescent="0.25">
      <c r="A48" s="65">
        <v>45667</v>
      </c>
      <c r="B48" s="31">
        <v>47</v>
      </c>
      <c r="C48" s="32">
        <v>45687</v>
      </c>
      <c r="D48" s="33">
        <v>0.4375</v>
      </c>
      <c r="E48" s="6" t="s">
        <v>923</v>
      </c>
      <c r="F48" s="53" t="s">
        <v>924</v>
      </c>
      <c r="G48" s="66" t="s">
        <v>925</v>
      </c>
      <c r="H48" s="161" t="s">
        <v>926</v>
      </c>
      <c r="I48" s="22" t="s">
        <v>927</v>
      </c>
      <c r="J48" s="157" t="s">
        <v>928</v>
      </c>
      <c r="K48" s="13" t="s">
        <v>929</v>
      </c>
    </row>
    <row r="49" spans="1:11" ht="22.5" customHeight="1" x14ac:dyDescent="0.25">
      <c r="A49" s="65" t="s">
        <v>930</v>
      </c>
      <c r="B49" s="31">
        <v>48</v>
      </c>
      <c r="C49" s="32">
        <v>45687</v>
      </c>
      <c r="D49" s="33">
        <v>0.44097222222222221</v>
      </c>
      <c r="E49" s="6" t="s">
        <v>931</v>
      </c>
      <c r="F49" s="53" t="s">
        <v>932</v>
      </c>
      <c r="G49" s="54" t="s">
        <v>933</v>
      </c>
      <c r="H49" s="161" t="s">
        <v>934</v>
      </c>
      <c r="I49" s="55" t="s">
        <v>935</v>
      </c>
      <c r="J49" s="54" t="s">
        <v>936</v>
      </c>
      <c r="K49" s="13" t="s">
        <v>151</v>
      </c>
    </row>
    <row r="50" spans="1:11" ht="22.5" customHeight="1" x14ac:dyDescent="0.25">
      <c r="A50" s="65" t="s">
        <v>930</v>
      </c>
      <c r="B50" s="31">
        <v>49</v>
      </c>
      <c r="C50" s="32">
        <v>45687</v>
      </c>
      <c r="D50" s="33">
        <v>0.44444444444444442</v>
      </c>
      <c r="E50" s="6" t="s">
        <v>937</v>
      </c>
      <c r="F50" s="53" t="s">
        <v>938</v>
      </c>
      <c r="G50" s="54" t="s">
        <v>933</v>
      </c>
      <c r="H50" s="161" t="s">
        <v>934</v>
      </c>
      <c r="I50" s="55" t="s">
        <v>935</v>
      </c>
      <c r="J50" s="54" t="s">
        <v>936</v>
      </c>
      <c r="K50" s="13" t="s">
        <v>151</v>
      </c>
    </row>
    <row r="51" spans="1:11" ht="22.5" customHeight="1" x14ac:dyDescent="0.25">
      <c r="A51" s="65" t="s">
        <v>930</v>
      </c>
      <c r="B51" s="31">
        <v>50</v>
      </c>
      <c r="C51" s="32">
        <v>45687</v>
      </c>
      <c r="D51" s="33">
        <v>0.44791666666666669</v>
      </c>
      <c r="E51" s="13" t="s">
        <v>939</v>
      </c>
      <c r="F51" s="53" t="s">
        <v>940</v>
      </c>
      <c r="G51" s="54" t="s">
        <v>933</v>
      </c>
      <c r="H51" s="161" t="s">
        <v>934</v>
      </c>
      <c r="I51" s="55" t="s">
        <v>935</v>
      </c>
      <c r="J51" s="54" t="s">
        <v>936</v>
      </c>
      <c r="K51" s="13" t="s">
        <v>151</v>
      </c>
    </row>
    <row r="52" spans="1:11" ht="22.5" customHeight="1" x14ac:dyDescent="0.25">
      <c r="A52" s="65" t="s">
        <v>930</v>
      </c>
      <c r="B52" s="31">
        <v>51</v>
      </c>
      <c r="C52" s="32">
        <v>45687</v>
      </c>
      <c r="D52" s="33">
        <v>0.4513888888888889</v>
      </c>
      <c r="E52" s="6" t="s">
        <v>941</v>
      </c>
      <c r="F52" s="53" t="s">
        <v>942</v>
      </c>
      <c r="G52" s="54" t="s">
        <v>933</v>
      </c>
      <c r="H52" s="161" t="s">
        <v>934</v>
      </c>
      <c r="I52" s="55" t="s">
        <v>935</v>
      </c>
      <c r="J52" s="54" t="s">
        <v>936</v>
      </c>
      <c r="K52" s="13" t="s">
        <v>151</v>
      </c>
    </row>
    <row r="53" spans="1:11" ht="22.5" customHeight="1" x14ac:dyDescent="0.25">
      <c r="A53" s="65" t="s">
        <v>930</v>
      </c>
      <c r="B53" s="31">
        <v>52</v>
      </c>
      <c r="C53" s="32">
        <v>45687</v>
      </c>
      <c r="D53" s="33">
        <v>0.4548611111111111</v>
      </c>
      <c r="E53" s="13" t="s">
        <v>943</v>
      </c>
      <c r="F53" s="53" t="s">
        <v>944</v>
      </c>
      <c r="G53" s="54" t="s">
        <v>933</v>
      </c>
      <c r="H53" s="161" t="s">
        <v>934</v>
      </c>
      <c r="I53" s="55" t="s">
        <v>935</v>
      </c>
      <c r="J53" s="54" t="s">
        <v>936</v>
      </c>
      <c r="K53" s="13" t="s">
        <v>151</v>
      </c>
    </row>
    <row r="54" spans="1:11" ht="22.5" customHeight="1" x14ac:dyDescent="0.25">
      <c r="A54" s="65" t="s">
        <v>930</v>
      </c>
      <c r="B54" s="31">
        <v>53</v>
      </c>
      <c r="C54" s="32">
        <v>45687</v>
      </c>
      <c r="D54" s="33">
        <v>0.45833333333333331</v>
      </c>
      <c r="E54" s="13" t="s">
        <v>945</v>
      </c>
      <c r="F54" s="53" t="s">
        <v>946</v>
      </c>
      <c r="G54" s="54" t="s">
        <v>933</v>
      </c>
      <c r="H54" s="161" t="s">
        <v>934</v>
      </c>
      <c r="I54" s="55" t="s">
        <v>935</v>
      </c>
      <c r="J54" s="54" t="s">
        <v>936</v>
      </c>
      <c r="K54" s="13" t="s">
        <v>151</v>
      </c>
    </row>
    <row r="55" spans="1:11" ht="22.5" customHeight="1" x14ac:dyDescent="0.25">
      <c r="A55" s="65" t="s">
        <v>930</v>
      </c>
      <c r="B55" s="31">
        <v>54</v>
      </c>
      <c r="C55" s="32">
        <v>45687</v>
      </c>
      <c r="D55" s="33">
        <v>0.46180555555555558</v>
      </c>
      <c r="E55" s="6" t="s">
        <v>947</v>
      </c>
      <c r="F55" s="53" t="s">
        <v>948</v>
      </c>
      <c r="G55" s="54" t="s">
        <v>933</v>
      </c>
      <c r="H55" s="161" t="s">
        <v>934</v>
      </c>
      <c r="I55" s="55" t="s">
        <v>935</v>
      </c>
      <c r="J55" s="54" t="s">
        <v>936</v>
      </c>
      <c r="K55" s="13" t="s">
        <v>151</v>
      </c>
    </row>
    <row r="56" spans="1:11" ht="22.5" customHeight="1" x14ac:dyDescent="0.25">
      <c r="A56" s="65" t="s">
        <v>930</v>
      </c>
      <c r="B56" s="31">
        <v>55</v>
      </c>
      <c r="C56" s="32">
        <v>45687</v>
      </c>
      <c r="D56" s="33">
        <v>0.46527777777777779</v>
      </c>
      <c r="E56" s="13" t="s">
        <v>949</v>
      </c>
      <c r="F56" s="53" t="s">
        <v>950</v>
      </c>
      <c r="G56" s="54" t="s">
        <v>933</v>
      </c>
      <c r="H56" s="161" t="s">
        <v>934</v>
      </c>
      <c r="I56" s="55" t="s">
        <v>935</v>
      </c>
      <c r="J56" s="54" t="s">
        <v>936</v>
      </c>
      <c r="K56" s="13" t="s">
        <v>151</v>
      </c>
    </row>
    <row r="57" spans="1:11" ht="22.5" customHeight="1" x14ac:dyDescent="0.25">
      <c r="A57" s="65">
        <v>45672</v>
      </c>
      <c r="B57" s="31">
        <v>56</v>
      </c>
      <c r="C57" s="32">
        <v>45687</v>
      </c>
      <c r="D57" s="33">
        <v>0.46875</v>
      </c>
      <c r="E57" s="6" t="s">
        <v>951</v>
      </c>
      <c r="F57" s="53" t="s">
        <v>952</v>
      </c>
      <c r="G57" s="54" t="s">
        <v>736</v>
      </c>
      <c r="H57" s="161" t="s">
        <v>737</v>
      </c>
      <c r="I57" s="55" t="s">
        <v>953</v>
      </c>
      <c r="J57" s="54" t="s">
        <v>954</v>
      </c>
      <c r="K57" s="13" t="s">
        <v>407</v>
      </c>
    </row>
    <row r="58" spans="1:11" ht="22.5" customHeight="1" x14ac:dyDescent="0.25">
      <c r="A58" s="65">
        <v>45673</v>
      </c>
      <c r="B58" s="31">
        <v>57</v>
      </c>
      <c r="C58" s="32">
        <v>45687</v>
      </c>
      <c r="D58" s="33">
        <v>0.47222222222222221</v>
      </c>
      <c r="E58" s="13" t="s">
        <v>955</v>
      </c>
      <c r="F58" s="53" t="s">
        <v>956</v>
      </c>
      <c r="G58" s="62" t="s">
        <v>957</v>
      </c>
      <c r="H58" s="161" t="s">
        <v>900</v>
      </c>
      <c r="I58" s="43" t="s">
        <v>958</v>
      </c>
      <c r="J58" s="54" t="s">
        <v>959</v>
      </c>
      <c r="K58" s="13" t="s">
        <v>881</v>
      </c>
    </row>
    <row r="59" spans="1:11" ht="22.5" customHeight="1" x14ac:dyDescent="0.25">
      <c r="A59" s="65">
        <v>45673</v>
      </c>
      <c r="B59" s="31">
        <v>58</v>
      </c>
      <c r="C59" s="32">
        <v>45687</v>
      </c>
      <c r="D59" s="33">
        <v>0.47569444444444442</v>
      </c>
      <c r="E59" s="6" t="s">
        <v>960</v>
      </c>
      <c r="F59" s="53" t="s">
        <v>961</v>
      </c>
      <c r="G59" s="54" t="s">
        <v>962</v>
      </c>
      <c r="H59" s="161" t="s">
        <v>763</v>
      </c>
      <c r="I59" s="55" t="s">
        <v>118</v>
      </c>
      <c r="J59" s="54" t="s">
        <v>764</v>
      </c>
      <c r="K59" s="13" t="s">
        <v>963</v>
      </c>
    </row>
    <row r="60" spans="1:11" ht="22.5" customHeight="1" x14ac:dyDescent="0.25">
      <c r="A60" s="65">
        <v>45674</v>
      </c>
      <c r="B60" s="31">
        <v>59</v>
      </c>
      <c r="C60" s="32">
        <v>45694</v>
      </c>
      <c r="D60" s="33">
        <v>0.375</v>
      </c>
      <c r="E60" s="6" t="s">
        <v>964</v>
      </c>
      <c r="F60" s="53" t="s">
        <v>965</v>
      </c>
      <c r="G60" s="62" t="s">
        <v>966</v>
      </c>
      <c r="H60" s="161" t="s">
        <v>777</v>
      </c>
      <c r="I60" s="55" t="s">
        <v>787</v>
      </c>
      <c r="J60" s="54" t="s">
        <v>788</v>
      </c>
      <c r="K60" s="13" t="s">
        <v>30</v>
      </c>
    </row>
    <row r="61" spans="1:11" ht="22.5" customHeight="1" x14ac:dyDescent="0.25">
      <c r="A61" s="65">
        <v>45674</v>
      </c>
      <c r="B61" s="31">
        <v>60</v>
      </c>
      <c r="C61" s="32">
        <v>45694</v>
      </c>
      <c r="D61" s="33">
        <v>0.37847222222222221</v>
      </c>
      <c r="E61" s="13" t="s">
        <v>967</v>
      </c>
      <c r="F61" s="53" t="s">
        <v>968</v>
      </c>
      <c r="G61" s="54" t="s">
        <v>736</v>
      </c>
      <c r="H61" s="161" t="s">
        <v>737</v>
      </c>
      <c r="I61" s="43" t="s">
        <v>969</v>
      </c>
      <c r="J61" s="54" t="s">
        <v>970</v>
      </c>
      <c r="K61" s="13" t="s">
        <v>914</v>
      </c>
    </row>
    <row r="62" spans="1:11" ht="33.75" customHeight="1" x14ac:dyDescent="0.25">
      <c r="A62" s="65">
        <v>45678</v>
      </c>
      <c r="B62" s="31">
        <v>61</v>
      </c>
      <c r="C62" s="32">
        <v>45694</v>
      </c>
      <c r="D62" s="33">
        <v>0.38194444444444442</v>
      </c>
      <c r="E62" s="13" t="s">
        <v>971</v>
      </c>
      <c r="F62" s="53" t="s">
        <v>972</v>
      </c>
      <c r="G62" s="62"/>
      <c r="H62" s="160"/>
      <c r="I62" s="62" t="s">
        <v>973</v>
      </c>
      <c r="J62" s="62" t="s">
        <v>974</v>
      </c>
      <c r="K62" s="13" t="s">
        <v>919</v>
      </c>
    </row>
    <row r="63" spans="1:11" ht="22.5" customHeight="1" x14ac:dyDescent="0.25">
      <c r="A63" s="61">
        <v>45679</v>
      </c>
      <c r="B63" s="31">
        <v>62</v>
      </c>
      <c r="C63" s="32">
        <v>45694</v>
      </c>
      <c r="D63" s="33">
        <v>0.38541666666666669</v>
      </c>
      <c r="E63" s="13" t="s">
        <v>975</v>
      </c>
      <c r="F63" t="s">
        <v>976</v>
      </c>
      <c r="G63" s="54" t="s">
        <v>736</v>
      </c>
      <c r="H63" s="161" t="s">
        <v>737</v>
      </c>
      <c r="I63" s="43" t="s">
        <v>977</v>
      </c>
      <c r="J63" s="54" t="s">
        <v>978</v>
      </c>
      <c r="K63" s="13" t="s">
        <v>919</v>
      </c>
    </row>
    <row r="64" spans="1:11" ht="22.5" customHeight="1" x14ac:dyDescent="0.25">
      <c r="A64" s="61">
        <v>45679</v>
      </c>
      <c r="B64" s="31">
        <v>63</v>
      </c>
      <c r="C64" s="32">
        <v>45694</v>
      </c>
      <c r="D64" s="33">
        <v>0.3888888888888889</v>
      </c>
      <c r="E64" s="13" t="s">
        <v>979</v>
      </c>
      <c r="F64" t="s">
        <v>980</v>
      </c>
      <c r="G64" s="62" t="s">
        <v>957</v>
      </c>
      <c r="H64" s="161" t="s">
        <v>900</v>
      </c>
      <c r="I64" s="43" t="s">
        <v>981</v>
      </c>
      <c r="J64" s="49" t="s">
        <v>982</v>
      </c>
      <c r="K64" s="13" t="s">
        <v>25</v>
      </c>
    </row>
    <row r="65" spans="1:12" ht="22.5" customHeight="1" x14ac:dyDescent="0.25">
      <c r="A65" s="61">
        <v>45679</v>
      </c>
      <c r="B65" s="31">
        <v>64</v>
      </c>
      <c r="C65" s="32">
        <v>45694</v>
      </c>
      <c r="D65" s="33">
        <v>0.3923611111111111</v>
      </c>
      <c r="E65" s="13" t="s">
        <v>983</v>
      </c>
      <c r="F65" s="53" t="s">
        <v>984</v>
      </c>
      <c r="G65" s="62"/>
      <c r="I65" s="43" t="s">
        <v>985</v>
      </c>
      <c r="K65" s="13" t="s">
        <v>90</v>
      </c>
    </row>
    <row r="66" spans="1:12" ht="22.5" customHeight="1" x14ac:dyDescent="0.25">
      <c r="A66" s="61">
        <v>45679</v>
      </c>
      <c r="B66" s="31">
        <v>65</v>
      </c>
      <c r="C66" s="32">
        <v>45694</v>
      </c>
      <c r="D66" s="33">
        <v>0.39583333333333331</v>
      </c>
      <c r="E66" s="13" t="s">
        <v>994</v>
      </c>
      <c r="F66" t="s">
        <v>986</v>
      </c>
      <c r="G66" s="156" t="s">
        <v>925</v>
      </c>
      <c r="H66" s="161" t="s">
        <v>926</v>
      </c>
      <c r="I66" t="s">
        <v>987</v>
      </c>
      <c r="J66" s="49" t="s">
        <v>988</v>
      </c>
      <c r="K66" s="13" t="s">
        <v>20</v>
      </c>
    </row>
    <row r="67" spans="1:12" ht="22.5" customHeight="1" x14ac:dyDescent="0.25">
      <c r="A67" s="61">
        <v>45679</v>
      </c>
      <c r="B67" s="31">
        <v>66</v>
      </c>
      <c r="C67" s="32">
        <v>45694</v>
      </c>
      <c r="D67" s="33">
        <v>0.39930555555555558</v>
      </c>
      <c r="E67" s="6" t="s">
        <v>1000</v>
      </c>
      <c r="F67" s="53" t="s">
        <v>989</v>
      </c>
      <c r="G67" s="62"/>
      <c r="I67" s="55" t="s">
        <v>803</v>
      </c>
      <c r="J67" s="54" t="s">
        <v>804</v>
      </c>
      <c r="K67" s="13" t="s">
        <v>25</v>
      </c>
    </row>
    <row r="68" spans="1:12" ht="22.5" customHeight="1" x14ac:dyDescent="0.25">
      <c r="A68" s="61">
        <v>45680</v>
      </c>
      <c r="B68" s="31">
        <v>67</v>
      </c>
      <c r="C68" s="32">
        <v>45694</v>
      </c>
      <c r="D68" s="33">
        <v>0.40277777777777779</v>
      </c>
      <c r="E68" s="13" t="s">
        <v>992</v>
      </c>
      <c r="F68" s="116" t="s">
        <v>990</v>
      </c>
      <c r="G68" s="62"/>
      <c r="I68" s="43" t="s">
        <v>991</v>
      </c>
      <c r="J68" s="54" t="s">
        <v>993</v>
      </c>
      <c r="K68" s="13" t="s">
        <v>317</v>
      </c>
    </row>
    <row r="69" spans="1:12" ht="35.25" customHeight="1" x14ac:dyDescent="0.25">
      <c r="A69" s="61">
        <v>45680</v>
      </c>
      <c r="B69" s="31" t="s">
        <v>995</v>
      </c>
      <c r="C69" s="32">
        <v>45684</v>
      </c>
      <c r="D69" s="33">
        <v>0.41666666666666669</v>
      </c>
      <c r="E69" s="13" t="s">
        <v>996</v>
      </c>
      <c r="G69" s="54" t="s">
        <v>998</v>
      </c>
      <c r="H69" s="162" t="s">
        <v>999</v>
      </c>
      <c r="I69" s="117" t="s">
        <v>997</v>
      </c>
      <c r="K69" s="13"/>
    </row>
    <row r="70" spans="1:12" ht="22.5" customHeight="1" x14ac:dyDescent="0.25">
      <c r="A70" s="61">
        <v>45680</v>
      </c>
      <c r="B70" s="31">
        <v>68</v>
      </c>
      <c r="C70" s="32">
        <v>45694</v>
      </c>
      <c r="D70" s="33">
        <v>0.52083333333333337</v>
      </c>
      <c r="E70" t="s">
        <v>1001</v>
      </c>
      <c r="F70" t="s">
        <v>1002</v>
      </c>
      <c r="G70" s="62" t="s">
        <v>839</v>
      </c>
      <c r="H70" s="161" t="s">
        <v>840</v>
      </c>
      <c r="I70" t="s">
        <v>1003</v>
      </c>
      <c r="J70" s="49" t="s">
        <v>1004</v>
      </c>
      <c r="K70" s="13" t="s">
        <v>25</v>
      </c>
    </row>
    <row r="71" spans="1:12" ht="22.5" customHeight="1" x14ac:dyDescent="0.25">
      <c r="A71" s="61">
        <v>45680</v>
      </c>
      <c r="B71" s="31">
        <v>69</v>
      </c>
      <c r="C71" s="32">
        <v>45694</v>
      </c>
      <c r="D71" s="33">
        <v>0.40625</v>
      </c>
      <c r="E71" s="13" t="s">
        <v>1005</v>
      </c>
      <c r="F71" t="s">
        <v>1006</v>
      </c>
      <c r="G71" s="62" t="s">
        <v>1007</v>
      </c>
      <c r="H71" s="161" t="s">
        <v>1008</v>
      </c>
      <c r="I71" s="43" t="s">
        <v>1009</v>
      </c>
      <c r="J71" s="49" t="s">
        <v>1010</v>
      </c>
      <c r="K71" s="13" t="s">
        <v>1011</v>
      </c>
    </row>
    <row r="72" spans="1:12" ht="22.5" customHeight="1" x14ac:dyDescent="0.25">
      <c r="A72" s="61">
        <v>45680</v>
      </c>
      <c r="B72" s="31">
        <v>70</v>
      </c>
      <c r="C72" s="32">
        <v>45694</v>
      </c>
      <c r="D72" s="33">
        <v>0.40972222222222221</v>
      </c>
      <c r="E72" t="s">
        <v>1012</v>
      </c>
      <c r="F72" t="s">
        <v>1013</v>
      </c>
      <c r="G72" s="62" t="s">
        <v>718</v>
      </c>
      <c r="H72" s="161" t="s">
        <v>719</v>
      </c>
      <c r="I72" t="s">
        <v>1014</v>
      </c>
      <c r="J72" s="49" t="s">
        <v>1015</v>
      </c>
      <c r="K72" s="13" t="s">
        <v>1016</v>
      </c>
      <c r="L72" s="6" t="s">
        <v>59</v>
      </c>
    </row>
    <row r="73" spans="1:12" ht="22.5" hidden="1" customHeight="1" x14ac:dyDescent="0.25">
      <c r="A73" s="61">
        <v>45681</v>
      </c>
      <c r="B73" s="31">
        <v>71</v>
      </c>
      <c r="C73" s="41">
        <v>45694</v>
      </c>
      <c r="D73" s="42">
        <v>0.41319444444444442</v>
      </c>
      <c r="E73" t="s">
        <v>1017</v>
      </c>
      <c r="F73" s="53" t="s">
        <v>1018</v>
      </c>
      <c r="G73" s="54" t="s">
        <v>736</v>
      </c>
      <c r="H73" s="54" t="s">
        <v>737</v>
      </c>
      <c r="I73" s="43" t="s">
        <v>1019</v>
      </c>
      <c r="J73" s="54" t="s">
        <v>1020</v>
      </c>
      <c r="K73" s="13" t="s">
        <v>20</v>
      </c>
    </row>
    <row r="74" spans="1:12" ht="22.5" customHeight="1" x14ac:dyDescent="0.25">
      <c r="A74" s="61">
        <v>45681</v>
      </c>
      <c r="B74" s="31">
        <v>72</v>
      </c>
      <c r="C74" s="32">
        <v>45701</v>
      </c>
      <c r="D74" s="33">
        <v>0.4375</v>
      </c>
      <c r="E74" s="13" t="s">
        <v>1021</v>
      </c>
      <c r="F74" s="53" t="s">
        <v>1022</v>
      </c>
      <c r="G74" s="62" t="s">
        <v>966</v>
      </c>
      <c r="H74" s="161" t="s">
        <v>777</v>
      </c>
      <c r="I74" s="43" t="s">
        <v>1023</v>
      </c>
      <c r="J74" s="54" t="s">
        <v>788</v>
      </c>
      <c r="K74" s="13" t="s">
        <v>30</v>
      </c>
    </row>
    <row r="75" spans="1:12" ht="22.5" customHeight="1" x14ac:dyDescent="0.25">
      <c r="A75" s="61">
        <v>45684</v>
      </c>
      <c r="B75" s="31">
        <v>73</v>
      </c>
      <c r="C75" s="32">
        <v>45701</v>
      </c>
      <c r="D75" s="33">
        <v>0.44097222222222221</v>
      </c>
      <c r="E75" s="13" t="s">
        <v>1024</v>
      </c>
      <c r="F75" s="53" t="s">
        <v>1025</v>
      </c>
      <c r="G75" s="62" t="s">
        <v>718</v>
      </c>
      <c r="H75" s="161" t="s">
        <v>719</v>
      </c>
      <c r="I75" s="43" t="s">
        <v>1026</v>
      </c>
      <c r="J75" s="54" t="s">
        <v>1027</v>
      </c>
      <c r="K75" s="13" t="s">
        <v>1028</v>
      </c>
    </row>
    <row r="76" spans="1:12" ht="22.5" customHeight="1" x14ac:dyDescent="0.25">
      <c r="A76" s="61">
        <v>45684</v>
      </c>
      <c r="B76" s="31">
        <v>74</v>
      </c>
      <c r="C76" s="32">
        <v>45701</v>
      </c>
      <c r="D76" s="33">
        <v>0.44444444444444442</v>
      </c>
      <c r="E76" s="13" t="s">
        <v>1029</v>
      </c>
      <c r="F76" s="53" t="s">
        <v>1030</v>
      </c>
      <c r="G76" s="62" t="s">
        <v>718</v>
      </c>
      <c r="H76" s="161" t="s">
        <v>719</v>
      </c>
      <c r="I76" s="43" t="s">
        <v>1031</v>
      </c>
      <c r="J76" s="54" t="s">
        <v>1032</v>
      </c>
      <c r="K76" s="13" t="s">
        <v>570</v>
      </c>
    </row>
    <row r="77" spans="1:12" ht="22.5" customHeight="1" x14ac:dyDescent="0.25">
      <c r="A77" s="67">
        <v>45684</v>
      </c>
      <c r="B77" s="31">
        <v>75</v>
      </c>
      <c r="C77" s="32">
        <v>45708</v>
      </c>
      <c r="D77" s="33">
        <v>0.375</v>
      </c>
      <c r="E77" s="13" t="s">
        <v>1033</v>
      </c>
      <c r="F77" s="4" t="s">
        <v>1034</v>
      </c>
      <c r="G77" s="16" t="s">
        <v>718</v>
      </c>
      <c r="H77" s="123" t="s">
        <v>719</v>
      </c>
      <c r="I77" s="43" t="s">
        <v>1035</v>
      </c>
      <c r="J77" s="31" t="s">
        <v>793</v>
      </c>
      <c r="K77" s="13" t="s">
        <v>1028</v>
      </c>
    </row>
    <row r="78" spans="1:12" ht="22.5" customHeight="1" x14ac:dyDescent="0.25">
      <c r="A78" s="61">
        <v>45684</v>
      </c>
      <c r="B78" s="31">
        <v>76</v>
      </c>
      <c r="C78" s="32">
        <v>45708</v>
      </c>
      <c r="D78" s="33">
        <v>0.37847222222222221</v>
      </c>
      <c r="E78" s="13" t="s">
        <v>1036</v>
      </c>
      <c r="F78" s="53" t="s">
        <v>1037</v>
      </c>
      <c r="G78" s="62" t="s">
        <v>718</v>
      </c>
      <c r="H78" s="161" t="s">
        <v>719</v>
      </c>
      <c r="I78" s="43" t="s">
        <v>1038</v>
      </c>
      <c r="J78" s="54" t="s">
        <v>1039</v>
      </c>
      <c r="K78" s="13" t="s">
        <v>1028</v>
      </c>
    </row>
    <row r="79" spans="1:12" ht="22.5" customHeight="1" x14ac:dyDescent="0.25">
      <c r="A79" s="61">
        <v>45684</v>
      </c>
      <c r="B79" s="31">
        <v>77</v>
      </c>
      <c r="C79" s="32">
        <v>45701</v>
      </c>
      <c r="D79" s="33">
        <v>0.44791666666666669</v>
      </c>
      <c r="E79" s="13" t="s">
        <v>1040</v>
      </c>
      <c r="F79" s="53" t="s">
        <v>1041</v>
      </c>
      <c r="G79" s="62"/>
      <c r="I79" s="43" t="s">
        <v>1042</v>
      </c>
      <c r="J79" s="54" t="s">
        <v>1043</v>
      </c>
      <c r="K79" s="13" t="s">
        <v>25</v>
      </c>
    </row>
    <row r="80" spans="1:12" ht="22.5" customHeight="1" x14ac:dyDescent="0.25">
      <c r="A80" s="61">
        <v>45684</v>
      </c>
      <c r="B80" s="31">
        <v>78</v>
      </c>
      <c r="C80" s="32">
        <v>45701</v>
      </c>
      <c r="D80" s="33">
        <v>0.4513888888888889</v>
      </c>
      <c r="E80" s="13" t="s">
        <v>1044</v>
      </c>
      <c r="F80" s="53" t="s">
        <v>1045</v>
      </c>
      <c r="G80" s="62" t="s">
        <v>718</v>
      </c>
      <c r="H80" s="161" t="s">
        <v>719</v>
      </c>
      <c r="I80" s="43" t="s">
        <v>1046</v>
      </c>
      <c r="J80" s="54" t="s">
        <v>1047</v>
      </c>
      <c r="K80" s="13" t="s">
        <v>1028</v>
      </c>
    </row>
    <row r="81" spans="1:11" ht="22.5" customHeight="1" x14ac:dyDescent="0.25">
      <c r="A81" s="61">
        <v>45684</v>
      </c>
      <c r="B81" s="31">
        <v>79</v>
      </c>
      <c r="C81" s="32">
        <v>45701</v>
      </c>
      <c r="D81" s="33">
        <v>0.4548611111111111</v>
      </c>
      <c r="E81" s="13" t="s">
        <v>1048</v>
      </c>
      <c r="F81" s="53" t="s">
        <v>1049</v>
      </c>
      <c r="G81" s="62" t="s">
        <v>736</v>
      </c>
      <c r="H81" s="161" t="s">
        <v>737</v>
      </c>
      <c r="I81" s="43" t="s">
        <v>832</v>
      </c>
      <c r="J81" s="54" t="s">
        <v>833</v>
      </c>
      <c r="K81" s="13" t="s">
        <v>407</v>
      </c>
    </row>
    <row r="82" spans="1:11" ht="37.5" customHeight="1" x14ac:dyDescent="0.25">
      <c r="A82" s="61">
        <v>45685</v>
      </c>
      <c r="B82" s="31">
        <v>80</v>
      </c>
      <c r="C82" s="32">
        <v>45701</v>
      </c>
      <c r="D82" s="33">
        <v>0.45833333333333331</v>
      </c>
      <c r="E82" s="13" t="s">
        <v>1050</v>
      </c>
      <c r="F82" s="53" t="s">
        <v>1051</v>
      </c>
      <c r="G82" s="62"/>
      <c r="I82" s="43" t="s">
        <v>1052</v>
      </c>
      <c r="J82" s="54" t="s">
        <v>1053</v>
      </c>
      <c r="K82" s="13" t="s">
        <v>1054</v>
      </c>
    </row>
    <row r="83" spans="1:11" ht="22.5" customHeight="1" x14ac:dyDescent="0.25">
      <c r="A83" s="61">
        <v>45685</v>
      </c>
      <c r="B83" s="31">
        <v>81</v>
      </c>
      <c r="C83" s="32" t="s">
        <v>1055</v>
      </c>
      <c r="D83" s="33">
        <v>0.46180555555555558</v>
      </c>
      <c r="E83" t="s">
        <v>1056</v>
      </c>
      <c r="F83" t="s">
        <v>1058</v>
      </c>
      <c r="G83" s="156" t="s">
        <v>1057</v>
      </c>
      <c r="H83" s="162" t="s">
        <v>769</v>
      </c>
      <c r="I83" t="s">
        <v>1059</v>
      </c>
      <c r="J83" s="49" t="s">
        <v>1060</v>
      </c>
      <c r="K83" t="s">
        <v>881</v>
      </c>
    </row>
    <row r="84" spans="1:11" ht="22.5" customHeight="1" x14ac:dyDescent="0.25">
      <c r="A84" s="61">
        <v>45686</v>
      </c>
      <c r="B84" s="31">
        <v>82</v>
      </c>
      <c r="C84" s="32">
        <v>45708</v>
      </c>
      <c r="D84" s="33">
        <v>0.38194444444444442</v>
      </c>
      <c r="E84" s="13" t="s">
        <v>1061</v>
      </c>
      <c r="F84" s="53" t="s">
        <v>1062</v>
      </c>
      <c r="G84" s="54" t="s">
        <v>800</v>
      </c>
      <c r="H84" s="161" t="s">
        <v>796</v>
      </c>
      <c r="I84" s="62" t="s">
        <v>1063</v>
      </c>
      <c r="J84" s="54" t="s">
        <v>1064</v>
      </c>
      <c r="K84" s="13" t="s">
        <v>1065</v>
      </c>
    </row>
    <row r="85" spans="1:11" ht="22.5" customHeight="1" x14ac:dyDescent="0.25">
      <c r="A85" s="61">
        <v>45686</v>
      </c>
      <c r="B85" s="31">
        <v>83</v>
      </c>
      <c r="C85" s="32">
        <v>45701</v>
      </c>
      <c r="D85" s="33">
        <v>0.46527777777777779</v>
      </c>
      <c r="E85" s="13" t="s">
        <v>1066</v>
      </c>
      <c r="F85" s="53" t="s">
        <v>1067</v>
      </c>
      <c r="G85" s="62" t="s">
        <v>1068</v>
      </c>
      <c r="H85" s="161" t="s">
        <v>1069</v>
      </c>
      <c r="I85" s="43" t="s">
        <v>102</v>
      </c>
      <c r="J85" s="54" t="s">
        <v>1070</v>
      </c>
      <c r="K85" s="13" t="s">
        <v>1071</v>
      </c>
    </row>
    <row r="86" spans="1:11" ht="22.5" customHeight="1" x14ac:dyDescent="0.25">
      <c r="A86" s="61">
        <v>45686</v>
      </c>
      <c r="B86" s="31">
        <v>84</v>
      </c>
      <c r="C86" s="32">
        <v>45701</v>
      </c>
      <c r="D86" s="33">
        <v>0.46875</v>
      </c>
      <c r="E86" s="13" t="s">
        <v>1072</v>
      </c>
      <c r="F86" s="53" t="s">
        <v>1073</v>
      </c>
      <c r="G86" s="62" t="s">
        <v>1068</v>
      </c>
      <c r="H86" s="161" t="s">
        <v>1069</v>
      </c>
      <c r="I86" s="43" t="s">
        <v>102</v>
      </c>
      <c r="J86" s="54" t="s">
        <v>1070</v>
      </c>
      <c r="K86" s="13" t="s">
        <v>1071</v>
      </c>
    </row>
    <row r="87" spans="1:11" ht="22.5" customHeight="1" x14ac:dyDescent="0.25">
      <c r="A87" s="61">
        <v>45686</v>
      </c>
      <c r="B87" s="31">
        <v>85</v>
      </c>
      <c r="C87" s="32">
        <v>45707</v>
      </c>
      <c r="D87" s="33">
        <v>0.39583333333333331</v>
      </c>
      <c r="E87" s="13" t="s">
        <v>1074</v>
      </c>
      <c r="F87" s="53" t="s">
        <v>1149</v>
      </c>
      <c r="G87" s="62" t="s">
        <v>1075</v>
      </c>
      <c r="H87" s="161" t="s">
        <v>1076</v>
      </c>
      <c r="I87" s="43" t="s">
        <v>1077</v>
      </c>
      <c r="J87" s="54" t="s">
        <v>1078</v>
      </c>
      <c r="K87" s="13" t="s">
        <v>1079</v>
      </c>
    </row>
    <row r="88" spans="1:11" ht="22.5" customHeight="1" x14ac:dyDescent="0.25">
      <c r="A88" s="61">
        <v>45686</v>
      </c>
      <c r="B88" s="31">
        <v>86</v>
      </c>
      <c r="C88" s="32">
        <v>45707</v>
      </c>
      <c r="D88" s="33">
        <v>0.39930555555555558</v>
      </c>
      <c r="E88" s="13" t="s">
        <v>1074</v>
      </c>
      <c r="F88" s="53" t="s">
        <v>1149</v>
      </c>
      <c r="G88" s="62" t="s">
        <v>1075</v>
      </c>
      <c r="H88" s="161" t="s">
        <v>1076</v>
      </c>
      <c r="I88" s="62" t="s">
        <v>1080</v>
      </c>
      <c r="J88" s="54" t="s">
        <v>1083</v>
      </c>
      <c r="K88" s="13" t="s">
        <v>1079</v>
      </c>
    </row>
    <row r="89" spans="1:11" ht="22.5" customHeight="1" x14ac:dyDescent="0.25">
      <c r="A89" s="61">
        <v>45686</v>
      </c>
      <c r="B89" s="31">
        <v>87</v>
      </c>
      <c r="C89" s="32">
        <v>45707</v>
      </c>
      <c r="D89" s="33">
        <v>0.40277777777777779</v>
      </c>
      <c r="E89" s="13" t="s">
        <v>1074</v>
      </c>
      <c r="F89" s="53" t="s">
        <v>1149</v>
      </c>
      <c r="G89" s="62" t="s">
        <v>1075</v>
      </c>
      <c r="H89" s="161" t="s">
        <v>1076</v>
      </c>
      <c r="I89" s="43" t="s">
        <v>1081</v>
      </c>
      <c r="J89" s="54" t="s">
        <v>1082</v>
      </c>
      <c r="K89" s="13" t="s">
        <v>1079</v>
      </c>
    </row>
    <row r="90" spans="1:11" ht="22.5" customHeight="1" x14ac:dyDescent="0.25">
      <c r="A90" s="61">
        <v>45686</v>
      </c>
      <c r="B90" s="31">
        <v>88</v>
      </c>
      <c r="C90" s="32">
        <v>45707</v>
      </c>
      <c r="D90" s="33">
        <v>0.40625</v>
      </c>
      <c r="E90" s="13" t="s">
        <v>1074</v>
      </c>
      <c r="F90" s="53" t="s">
        <v>1149</v>
      </c>
      <c r="G90" s="62" t="s">
        <v>1075</v>
      </c>
      <c r="H90" s="161" t="s">
        <v>1076</v>
      </c>
      <c r="I90" s="43" t="s">
        <v>1084</v>
      </c>
      <c r="J90" s="54" t="s">
        <v>1085</v>
      </c>
      <c r="K90" s="13" t="s">
        <v>1079</v>
      </c>
    </row>
    <row r="91" spans="1:11" ht="22.5" customHeight="1" x14ac:dyDescent="0.25">
      <c r="A91" s="61">
        <v>45686</v>
      </c>
      <c r="B91" s="31">
        <v>89</v>
      </c>
      <c r="C91" s="32">
        <v>45707</v>
      </c>
      <c r="D91" s="33">
        <v>0.40972222222222221</v>
      </c>
      <c r="E91" s="13" t="s">
        <v>1074</v>
      </c>
      <c r="F91" s="53" t="s">
        <v>1149</v>
      </c>
      <c r="G91" s="62" t="s">
        <v>1075</v>
      </c>
      <c r="H91" s="161" t="s">
        <v>1076</v>
      </c>
      <c r="I91" s="43" t="s">
        <v>1086</v>
      </c>
      <c r="J91" s="54" t="s">
        <v>1087</v>
      </c>
      <c r="K91" s="13" t="s">
        <v>1079</v>
      </c>
    </row>
    <row r="92" spans="1:11" ht="18.649999999999999" hidden="1" customHeight="1" x14ac:dyDescent="0.25">
      <c r="A92" s="76">
        <v>45686</v>
      </c>
      <c r="B92" s="31">
        <v>90</v>
      </c>
      <c r="C92" s="41">
        <v>45707</v>
      </c>
      <c r="D92" s="42">
        <v>0.41319444444444442</v>
      </c>
      <c r="E92" s="13" t="s">
        <v>1074</v>
      </c>
      <c r="F92" s="53" t="s">
        <v>1149</v>
      </c>
      <c r="G92" s="62" t="s">
        <v>1075</v>
      </c>
      <c r="H92" s="54" t="s">
        <v>1076</v>
      </c>
      <c r="I92" s="43" t="s">
        <v>1088</v>
      </c>
      <c r="J92" s="54" t="s">
        <v>1089</v>
      </c>
      <c r="K92" s="13" t="s">
        <v>1079</v>
      </c>
    </row>
    <row r="93" spans="1:11" ht="22.5" customHeight="1" x14ac:dyDescent="0.25">
      <c r="A93" s="61">
        <v>45686</v>
      </c>
      <c r="B93" s="31">
        <v>91</v>
      </c>
      <c r="C93" s="32">
        <v>45707</v>
      </c>
      <c r="D93" s="33">
        <v>0.41666666666666669</v>
      </c>
      <c r="E93" s="13" t="s">
        <v>1074</v>
      </c>
      <c r="F93" s="53" t="s">
        <v>1149</v>
      </c>
      <c r="G93" s="62" t="s">
        <v>1075</v>
      </c>
      <c r="H93" s="161" t="s">
        <v>1076</v>
      </c>
      <c r="I93" s="43" t="s">
        <v>1090</v>
      </c>
      <c r="J93" s="54" t="s">
        <v>1091</v>
      </c>
      <c r="K93" s="13" t="s">
        <v>1079</v>
      </c>
    </row>
    <row r="94" spans="1:11" ht="22.5" customHeight="1" x14ac:dyDescent="0.25">
      <c r="A94" s="61">
        <v>45686</v>
      </c>
      <c r="B94" s="31">
        <v>92</v>
      </c>
      <c r="C94" s="32">
        <v>45707</v>
      </c>
      <c r="D94" s="33">
        <v>0.4201388888888889</v>
      </c>
      <c r="E94" s="13" t="s">
        <v>1074</v>
      </c>
      <c r="F94" s="53" t="s">
        <v>1149</v>
      </c>
      <c r="G94" s="62" t="s">
        <v>1075</v>
      </c>
      <c r="H94" s="161" t="s">
        <v>1076</v>
      </c>
      <c r="I94" s="43" t="s">
        <v>1092</v>
      </c>
      <c r="J94" s="54" t="s">
        <v>1093</v>
      </c>
      <c r="K94" s="13" t="s">
        <v>1079</v>
      </c>
    </row>
    <row r="95" spans="1:11" ht="22.5" customHeight="1" x14ac:dyDescent="0.25">
      <c r="A95" s="61">
        <v>45686</v>
      </c>
      <c r="B95" s="31">
        <v>93</v>
      </c>
      <c r="C95" s="32">
        <v>45707</v>
      </c>
      <c r="D95" s="33">
        <v>0.4236111111111111</v>
      </c>
      <c r="E95" s="13" t="s">
        <v>1074</v>
      </c>
      <c r="F95" s="53" t="s">
        <v>1149</v>
      </c>
      <c r="G95" s="62" t="s">
        <v>1075</v>
      </c>
      <c r="H95" s="161" t="s">
        <v>1076</v>
      </c>
      <c r="I95" s="43" t="s">
        <v>1094</v>
      </c>
      <c r="J95" s="54" t="s">
        <v>1095</v>
      </c>
      <c r="K95" s="13" t="s">
        <v>1079</v>
      </c>
    </row>
    <row r="96" spans="1:11" ht="22.5" customHeight="1" x14ac:dyDescent="0.25">
      <c r="A96" s="61">
        <v>45686</v>
      </c>
      <c r="B96" s="31">
        <v>94</v>
      </c>
      <c r="C96" s="32">
        <v>45707</v>
      </c>
      <c r="D96" s="33">
        <v>0.42708333333333331</v>
      </c>
      <c r="E96" s="13" t="s">
        <v>1074</v>
      </c>
      <c r="F96" s="53" t="s">
        <v>1149</v>
      </c>
      <c r="G96" s="62" t="s">
        <v>1075</v>
      </c>
      <c r="H96" s="161" t="s">
        <v>1076</v>
      </c>
      <c r="I96" s="43" t="s">
        <v>1031</v>
      </c>
      <c r="J96" s="54" t="s">
        <v>1032</v>
      </c>
      <c r="K96" s="13" t="s">
        <v>1079</v>
      </c>
    </row>
    <row r="97" spans="1:58" ht="22.5" customHeight="1" x14ac:dyDescent="0.25">
      <c r="A97" s="61">
        <v>45686</v>
      </c>
      <c r="B97" s="31">
        <v>95</v>
      </c>
      <c r="C97" s="32">
        <v>45707</v>
      </c>
      <c r="D97" s="33">
        <v>0.43055555555555558</v>
      </c>
      <c r="E97" s="13" t="s">
        <v>1074</v>
      </c>
      <c r="F97" s="53" t="s">
        <v>1149</v>
      </c>
      <c r="G97" s="62" t="s">
        <v>1075</v>
      </c>
      <c r="H97" s="161" t="s">
        <v>1076</v>
      </c>
      <c r="I97" s="43" t="s">
        <v>1096</v>
      </c>
      <c r="J97" s="54" t="s">
        <v>1097</v>
      </c>
      <c r="K97" s="13" t="s">
        <v>1079</v>
      </c>
    </row>
    <row r="98" spans="1:58" ht="22.5" customHeight="1" x14ac:dyDescent="0.25">
      <c r="A98" s="61">
        <v>45686</v>
      </c>
      <c r="B98" s="31">
        <v>96</v>
      </c>
      <c r="C98" s="32">
        <v>45707</v>
      </c>
      <c r="D98" s="33">
        <v>0.43402777777777779</v>
      </c>
      <c r="E98" s="13" t="s">
        <v>1074</v>
      </c>
      <c r="F98" s="53" t="s">
        <v>1149</v>
      </c>
      <c r="G98" s="62" t="s">
        <v>1075</v>
      </c>
      <c r="H98" s="161" t="s">
        <v>1076</v>
      </c>
      <c r="I98" s="43" t="s">
        <v>1098</v>
      </c>
      <c r="J98" s="54" t="s">
        <v>1099</v>
      </c>
      <c r="K98" s="13" t="s">
        <v>1079</v>
      </c>
    </row>
    <row r="99" spans="1:58" ht="22.5" customHeight="1" x14ac:dyDescent="0.25">
      <c r="A99" s="61">
        <v>45686</v>
      </c>
      <c r="B99" s="31">
        <v>97</v>
      </c>
      <c r="C99" s="32">
        <v>45707</v>
      </c>
      <c r="D99" s="33">
        <v>0.4375</v>
      </c>
      <c r="E99" s="13" t="s">
        <v>1074</v>
      </c>
      <c r="F99" s="53" t="s">
        <v>1149</v>
      </c>
      <c r="G99" s="62" t="s">
        <v>1075</v>
      </c>
      <c r="H99" s="161" t="s">
        <v>1076</v>
      </c>
      <c r="I99" s="43" t="s">
        <v>1100</v>
      </c>
      <c r="J99" s="54" t="s">
        <v>1101</v>
      </c>
      <c r="K99" s="13" t="s">
        <v>1079</v>
      </c>
    </row>
    <row r="100" spans="1:58" ht="22.5" customHeight="1" x14ac:dyDescent="0.25">
      <c r="A100" s="61">
        <v>45686</v>
      </c>
      <c r="B100" s="31">
        <v>98</v>
      </c>
      <c r="C100" s="32">
        <v>45707</v>
      </c>
      <c r="D100" s="33">
        <v>0.44097222222222221</v>
      </c>
      <c r="E100" s="13" t="s">
        <v>1074</v>
      </c>
      <c r="F100" s="53" t="s">
        <v>1149</v>
      </c>
      <c r="G100" s="62" t="s">
        <v>1075</v>
      </c>
      <c r="H100" s="161" t="s">
        <v>1076</v>
      </c>
      <c r="I100" s="43" t="s">
        <v>1102</v>
      </c>
      <c r="J100" s="54" t="s">
        <v>1103</v>
      </c>
      <c r="K100" s="13" t="s">
        <v>1079</v>
      </c>
    </row>
    <row r="101" spans="1:58" ht="22.5" customHeight="1" x14ac:dyDescent="0.25">
      <c r="A101" s="61">
        <v>45686</v>
      </c>
      <c r="B101" s="31">
        <v>99</v>
      </c>
      <c r="C101" s="32">
        <v>45707</v>
      </c>
      <c r="D101" s="33">
        <v>0.44444444444444442</v>
      </c>
      <c r="E101" s="13" t="s">
        <v>1074</v>
      </c>
      <c r="F101" s="53" t="s">
        <v>1149</v>
      </c>
      <c r="G101" s="62" t="s">
        <v>1075</v>
      </c>
      <c r="H101" s="161" t="s">
        <v>1076</v>
      </c>
      <c r="I101" s="43" t="s">
        <v>1104</v>
      </c>
      <c r="J101" s="54" t="s">
        <v>1105</v>
      </c>
      <c r="K101" s="13" t="s">
        <v>1079</v>
      </c>
    </row>
    <row r="102" spans="1:58" ht="22.5" customHeight="1" x14ac:dyDescent="0.25">
      <c r="A102" s="61">
        <v>45686</v>
      </c>
      <c r="B102" s="31">
        <v>100</v>
      </c>
      <c r="C102" s="32">
        <v>45707</v>
      </c>
      <c r="D102" s="33">
        <v>0.44791666666666669</v>
      </c>
      <c r="E102" s="13" t="s">
        <v>1074</v>
      </c>
      <c r="F102" s="53" t="s">
        <v>1149</v>
      </c>
      <c r="G102" s="62" t="s">
        <v>1075</v>
      </c>
      <c r="H102" s="161" t="s">
        <v>1076</v>
      </c>
      <c r="I102" s="43" t="s">
        <v>1106</v>
      </c>
      <c r="J102" s="54" t="s">
        <v>812</v>
      </c>
      <c r="K102" s="13" t="s">
        <v>1079</v>
      </c>
    </row>
    <row r="103" spans="1:58" ht="22.5" customHeight="1" x14ac:dyDescent="0.25">
      <c r="A103" s="61">
        <v>45686</v>
      </c>
      <c r="B103" s="31">
        <v>101</v>
      </c>
      <c r="C103" s="32">
        <v>45707</v>
      </c>
      <c r="D103" s="33">
        <v>0.4513888888888889</v>
      </c>
      <c r="E103" s="13" t="s">
        <v>1074</v>
      </c>
      <c r="F103" s="53" t="s">
        <v>1149</v>
      </c>
      <c r="G103" s="62" t="s">
        <v>1075</v>
      </c>
      <c r="H103" s="161" t="s">
        <v>1076</v>
      </c>
      <c r="I103" s="43" t="s">
        <v>681</v>
      </c>
      <c r="J103" s="54" t="s">
        <v>1107</v>
      </c>
      <c r="K103" s="13" t="s">
        <v>1079</v>
      </c>
    </row>
    <row r="104" spans="1:58" ht="22.5" customHeight="1" x14ac:dyDescent="0.25">
      <c r="A104" s="61">
        <v>45686</v>
      </c>
      <c r="B104" s="31">
        <v>102</v>
      </c>
      <c r="C104" s="32">
        <v>45707</v>
      </c>
      <c r="D104" s="33">
        <v>0.4548611111111111</v>
      </c>
      <c r="E104" s="13" t="s">
        <v>1074</v>
      </c>
      <c r="F104" s="53" t="s">
        <v>1149</v>
      </c>
      <c r="G104" s="62" t="s">
        <v>1075</v>
      </c>
      <c r="H104" s="161" t="s">
        <v>1076</v>
      </c>
      <c r="I104" s="43" t="s">
        <v>1108</v>
      </c>
      <c r="J104" s="54" t="s">
        <v>1109</v>
      </c>
      <c r="K104" s="13" t="s">
        <v>1079</v>
      </c>
    </row>
    <row r="105" spans="1:58" ht="31.5" customHeight="1" x14ac:dyDescent="0.25">
      <c r="A105" s="61">
        <v>45686</v>
      </c>
      <c r="B105" s="31">
        <v>103</v>
      </c>
      <c r="C105" s="32">
        <v>45707</v>
      </c>
      <c r="D105" s="33">
        <v>0.45833333333333331</v>
      </c>
      <c r="E105" s="13" t="s">
        <v>1074</v>
      </c>
      <c r="F105" s="53" t="s">
        <v>1149</v>
      </c>
      <c r="G105" s="62" t="s">
        <v>1075</v>
      </c>
      <c r="H105" s="161" t="s">
        <v>1076</v>
      </c>
      <c r="I105" s="43" t="s">
        <v>1110</v>
      </c>
      <c r="J105" s="54" t="s">
        <v>1111</v>
      </c>
      <c r="K105" s="13" t="s">
        <v>1079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</row>
    <row r="106" spans="1:58" ht="33" customHeight="1" x14ac:dyDescent="0.25">
      <c r="A106" s="61">
        <v>45686</v>
      </c>
      <c r="B106" s="31">
        <v>104</v>
      </c>
      <c r="C106" s="32">
        <v>45707</v>
      </c>
      <c r="D106" s="33">
        <v>0.46180555555555558</v>
      </c>
      <c r="E106" s="13" t="s">
        <v>1074</v>
      </c>
      <c r="F106" s="53" t="s">
        <v>1149</v>
      </c>
      <c r="G106" s="62" t="s">
        <v>1075</v>
      </c>
      <c r="H106" s="161" t="s">
        <v>1076</v>
      </c>
      <c r="I106" s="43" t="s">
        <v>1112</v>
      </c>
      <c r="J106" s="54" t="s">
        <v>1113</v>
      </c>
      <c r="K106" s="13" t="s">
        <v>1079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</row>
    <row r="107" spans="1:58" ht="22.5" customHeight="1" x14ac:dyDescent="0.25">
      <c r="A107" s="61">
        <v>45686</v>
      </c>
      <c r="B107" s="31">
        <v>105</v>
      </c>
      <c r="C107" s="32">
        <v>45707</v>
      </c>
      <c r="D107" s="33">
        <v>0.46527777777777779</v>
      </c>
      <c r="E107" s="13" t="s">
        <v>1074</v>
      </c>
      <c r="F107" s="53" t="s">
        <v>1149</v>
      </c>
      <c r="G107" s="62" t="s">
        <v>1075</v>
      </c>
      <c r="H107" s="161" t="s">
        <v>1076</v>
      </c>
      <c r="I107" s="43" t="s">
        <v>1114</v>
      </c>
      <c r="J107" s="54" t="s">
        <v>1115</v>
      </c>
      <c r="K107" s="13" t="s">
        <v>1079</v>
      </c>
    </row>
    <row r="108" spans="1:58" ht="22.5" customHeight="1" x14ac:dyDescent="0.25">
      <c r="A108" s="61">
        <v>45686</v>
      </c>
      <c r="B108" s="31">
        <v>106</v>
      </c>
      <c r="C108" s="32">
        <v>45707</v>
      </c>
      <c r="D108" s="33">
        <v>0.46875</v>
      </c>
      <c r="E108" s="13" t="s">
        <v>1074</v>
      </c>
      <c r="F108" s="53" t="s">
        <v>1149</v>
      </c>
      <c r="G108" s="62" t="s">
        <v>1075</v>
      </c>
      <c r="H108" s="161" t="s">
        <v>1076</v>
      </c>
      <c r="I108" s="43" t="s">
        <v>1116</v>
      </c>
      <c r="J108" s="54" t="s">
        <v>1117</v>
      </c>
      <c r="K108" s="13" t="s">
        <v>1079</v>
      </c>
    </row>
    <row r="109" spans="1:58" ht="22.5" customHeight="1" x14ac:dyDescent="0.25">
      <c r="A109" s="61">
        <v>45686</v>
      </c>
      <c r="B109" s="31">
        <v>107</v>
      </c>
      <c r="C109" s="32">
        <v>45707</v>
      </c>
      <c r="D109" s="33">
        <v>0.47222222222222221</v>
      </c>
      <c r="E109" s="13" t="s">
        <v>1074</v>
      </c>
      <c r="F109" s="53" t="s">
        <v>1149</v>
      </c>
      <c r="G109" s="62" t="s">
        <v>1075</v>
      </c>
      <c r="H109" s="161" t="s">
        <v>1076</v>
      </c>
      <c r="I109" s="43" t="s">
        <v>1116</v>
      </c>
      <c r="J109" s="54" t="s">
        <v>1117</v>
      </c>
      <c r="K109" s="13" t="s">
        <v>1079</v>
      </c>
    </row>
    <row r="110" spans="1:58" ht="22.5" customHeight="1" x14ac:dyDescent="0.25">
      <c r="A110" s="61">
        <v>45686</v>
      </c>
      <c r="B110" s="31">
        <v>108</v>
      </c>
      <c r="C110" s="32">
        <v>45707</v>
      </c>
      <c r="D110" s="33">
        <v>0.47569444444444442</v>
      </c>
      <c r="E110" s="13" t="s">
        <v>1074</v>
      </c>
      <c r="F110" s="53" t="s">
        <v>1149</v>
      </c>
      <c r="G110" s="62" t="s">
        <v>1075</v>
      </c>
      <c r="H110" s="161" t="s">
        <v>1076</v>
      </c>
      <c r="I110" s="43" t="s">
        <v>1118</v>
      </c>
      <c r="J110" s="54" t="s">
        <v>1119</v>
      </c>
      <c r="K110" s="13" t="s">
        <v>1079</v>
      </c>
    </row>
    <row r="111" spans="1:58" ht="22.5" customHeight="1" x14ac:dyDescent="0.25">
      <c r="A111" s="61">
        <v>45686</v>
      </c>
      <c r="B111" s="31">
        <v>109</v>
      </c>
      <c r="C111" s="32">
        <v>45707</v>
      </c>
      <c r="D111" s="33">
        <v>0.47916666666666669</v>
      </c>
      <c r="E111" s="13" t="s">
        <v>1074</v>
      </c>
      <c r="F111" s="53" t="s">
        <v>1149</v>
      </c>
      <c r="G111" s="62" t="s">
        <v>1075</v>
      </c>
      <c r="H111" s="161" t="s">
        <v>1076</v>
      </c>
      <c r="I111" s="43" t="s">
        <v>1120</v>
      </c>
      <c r="J111" s="54" t="s">
        <v>1121</v>
      </c>
      <c r="K111" s="13" t="s">
        <v>1079</v>
      </c>
    </row>
    <row r="112" spans="1:58" ht="22.5" customHeight="1" x14ac:dyDescent="0.25">
      <c r="A112" s="61">
        <v>45686</v>
      </c>
      <c r="B112" s="31">
        <v>110</v>
      </c>
      <c r="C112" s="32">
        <v>45707</v>
      </c>
      <c r="D112" s="33">
        <v>0.4826388888888889</v>
      </c>
      <c r="E112" s="13" t="s">
        <v>1074</v>
      </c>
      <c r="F112" s="53" t="s">
        <v>1149</v>
      </c>
      <c r="G112" s="62" t="s">
        <v>1075</v>
      </c>
      <c r="H112" s="161" t="s">
        <v>1076</v>
      </c>
      <c r="I112" s="43" t="s">
        <v>1122</v>
      </c>
      <c r="J112" s="54" t="s">
        <v>1123</v>
      </c>
      <c r="K112" s="13" t="s">
        <v>1079</v>
      </c>
    </row>
    <row r="113" spans="1:58" ht="47.25" customHeight="1" x14ac:dyDescent="0.25">
      <c r="A113" s="61">
        <v>45686</v>
      </c>
      <c r="B113" s="31">
        <v>111</v>
      </c>
      <c r="C113" s="32">
        <v>45707</v>
      </c>
      <c r="D113" s="33">
        <v>0.4861111111111111</v>
      </c>
      <c r="E113" s="13" t="s">
        <v>1074</v>
      </c>
      <c r="F113" s="53" t="s">
        <v>1149</v>
      </c>
      <c r="G113" s="62" t="s">
        <v>1075</v>
      </c>
      <c r="H113" s="161" t="s">
        <v>1076</v>
      </c>
      <c r="I113" s="43" t="s">
        <v>1124</v>
      </c>
      <c r="J113" s="54" t="s">
        <v>1125</v>
      </c>
      <c r="K113" s="13" t="s">
        <v>1079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</row>
    <row r="114" spans="1:58" ht="22.5" customHeight="1" x14ac:dyDescent="0.25">
      <c r="A114" s="61">
        <v>45686</v>
      </c>
      <c r="B114" s="31">
        <v>112</v>
      </c>
      <c r="C114" s="32">
        <v>45707</v>
      </c>
      <c r="D114" s="33">
        <v>0.48958333333333331</v>
      </c>
      <c r="E114" s="13" t="s">
        <v>1074</v>
      </c>
      <c r="F114" s="53" t="s">
        <v>1149</v>
      </c>
      <c r="G114" s="62" t="s">
        <v>1075</v>
      </c>
      <c r="H114" s="161" t="s">
        <v>1076</v>
      </c>
      <c r="I114" s="43" t="s">
        <v>1124</v>
      </c>
      <c r="J114" s="54" t="s">
        <v>1125</v>
      </c>
      <c r="K114" s="13" t="s">
        <v>1079</v>
      </c>
    </row>
    <row r="115" spans="1:58" ht="22.5" customHeight="1" x14ac:dyDescent="0.25">
      <c r="A115" s="61">
        <v>45686</v>
      </c>
      <c r="B115" s="31">
        <v>113</v>
      </c>
      <c r="C115" s="32">
        <v>45707</v>
      </c>
      <c r="D115" s="33">
        <v>0.49305555555555558</v>
      </c>
      <c r="E115" s="13" t="s">
        <v>1074</v>
      </c>
      <c r="F115" s="53" t="s">
        <v>1149</v>
      </c>
      <c r="G115" s="62" t="s">
        <v>1075</v>
      </c>
      <c r="H115" s="161" t="s">
        <v>1076</v>
      </c>
      <c r="I115" s="43" t="s">
        <v>1126</v>
      </c>
      <c r="J115" s="54" t="s">
        <v>1127</v>
      </c>
      <c r="K115" s="13" t="s">
        <v>1079</v>
      </c>
    </row>
    <row r="116" spans="1:58" ht="22.5" customHeight="1" x14ac:dyDescent="0.25">
      <c r="A116" s="61">
        <v>45686</v>
      </c>
      <c r="B116" s="31">
        <v>114</v>
      </c>
      <c r="C116" s="32">
        <v>45707</v>
      </c>
      <c r="D116" s="33">
        <v>0.49652777777777779</v>
      </c>
      <c r="E116" s="13" t="s">
        <v>1074</v>
      </c>
      <c r="F116" s="53" t="s">
        <v>1149</v>
      </c>
      <c r="G116" s="62" t="s">
        <v>1075</v>
      </c>
      <c r="H116" s="161" t="s">
        <v>1076</v>
      </c>
      <c r="I116" s="43" t="s">
        <v>1128</v>
      </c>
      <c r="J116" s="54" t="s">
        <v>1129</v>
      </c>
      <c r="K116" s="13" t="s">
        <v>1079</v>
      </c>
    </row>
    <row r="117" spans="1:58" ht="22.5" customHeight="1" x14ac:dyDescent="0.25">
      <c r="A117" s="61">
        <v>45686</v>
      </c>
      <c r="B117" s="31">
        <v>115</v>
      </c>
      <c r="C117" s="32">
        <v>45701</v>
      </c>
      <c r="D117" s="33">
        <v>0.47222222222222221</v>
      </c>
      <c r="E117" s="13" t="s">
        <v>1130</v>
      </c>
      <c r="F117" s="53" t="s">
        <v>1131</v>
      </c>
      <c r="G117" s="62" t="s">
        <v>736</v>
      </c>
      <c r="H117" s="161" t="s">
        <v>737</v>
      </c>
      <c r="I117" s="43" t="s">
        <v>1132</v>
      </c>
      <c r="J117" s="54" t="s">
        <v>1133</v>
      </c>
      <c r="K117" s="13" t="s">
        <v>407</v>
      </c>
    </row>
    <row r="118" spans="1:58" ht="22.5" customHeight="1" x14ac:dyDescent="0.25">
      <c r="A118" s="61">
        <v>45686</v>
      </c>
      <c r="B118" s="31">
        <v>116</v>
      </c>
      <c r="C118" s="32">
        <v>45701</v>
      </c>
      <c r="D118" s="33">
        <v>0.47569444444444442</v>
      </c>
      <c r="E118" s="13" t="s">
        <v>1134</v>
      </c>
      <c r="F118" s="53" t="s">
        <v>1135</v>
      </c>
      <c r="G118" s="62" t="s">
        <v>933</v>
      </c>
      <c r="H118" s="161" t="s">
        <v>934</v>
      </c>
      <c r="I118" s="43" t="s">
        <v>935</v>
      </c>
      <c r="J118" s="54" t="s">
        <v>936</v>
      </c>
      <c r="K118" s="13" t="s">
        <v>1136</v>
      </c>
    </row>
    <row r="119" spans="1:58" ht="22.5" customHeight="1" x14ac:dyDescent="0.25">
      <c r="A119" s="61">
        <v>45686</v>
      </c>
      <c r="B119" s="31">
        <v>117</v>
      </c>
      <c r="C119" s="32">
        <v>45701</v>
      </c>
      <c r="D119" s="33">
        <v>0.47916666666666669</v>
      </c>
      <c r="E119" s="13" t="s">
        <v>1137</v>
      </c>
      <c r="F119" s="53" t="s">
        <v>1138</v>
      </c>
      <c r="G119" s="62" t="s">
        <v>933</v>
      </c>
      <c r="H119" s="161" t="s">
        <v>934</v>
      </c>
      <c r="I119" s="43" t="s">
        <v>935</v>
      </c>
      <c r="J119" s="54" t="s">
        <v>936</v>
      </c>
      <c r="K119" s="13" t="s">
        <v>1136</v>
      </c>
    </row>
    <row r="120" spans="1:58" ht="22.5" customHeight="1" x14ac:dyDescent="0.25">
      <c r="A120" s="61">
        <v>45686</v>
      </c>
      <c r="B120" s="31">
        <v>118</v>
      </c>
      <c r="C120" s="32">
        <v>45701</v>
      </c>
      <c r="D120" s="33">
        <v>0.4826388888888889</v>
      </c>
      <c r="E120" s="13" t="s">
        <v>1139</v>
      </c>
      <c r="F120" s="53" t="s">
        <v>1140</v>
      </c>
      <c r="G120" s="62" t="s">
        <v>933</v>
      </c>
      <c r="H120" s="161" t="s">
        <v>934</v>
      </c>
      <c r="I120" s="43" t="s">
        <v>935</v>
      </c>
      <c r="J120" s="54" t="s">
        <v>936</v>
      </c>
      <c r="K120" s="13" t="s">
        <v>1136</v>
      </c>
    </row>
    <row r="121" spans="1:58" ht="22.5" customHeight="1" x14ac:dyDescent="0.25">
      <c r="A121" s="61">
        <v>45686</v>
      </c>
      <c r="B121" s="31">
        <v>119</v>
      </c>
      <c r="C121" s="32">
        <v>45701</v>
      </c>
      <c r="D121" s="33">
        <v>0.4861111111111111</v>
      </c>
      <c r="E121" s="13" t="s">
        <v>1141</v>
      </c>
      <c r="F121" s="53" t="s">
        <v>1142</v>
      </c>
      <c r="G121" s="62" t="s">
        <v>933</v>
      </c>
      <c r="H121" s="161" t="s">
        <v>934</v>
      </c>
      <c r="I121" s="43" t="s">
        <v>935</v>
      </c>
      <c r="J121" s="54" t="s">
        <v>936</v>
      </c>
      <c r="K121" s="13" t="s">
        <v>1136</v>
      </c>
    </row>
    <row r="122" spans="1:58" ht="22.5" customHeight="1" x14ac:dyDescent="0.25">
      <c r="A122" s="61">
        <v>45686</v>
      </c>
      <c r="B122" s="31">
        <v>120</v>
      </c>
      <c r="C122" s="32">
        <v>45701</v>
      </c>
      <c r="D122" s="33">
        <v>0.48958333333333331</v>
      </c>
      <c r="E122" s="13" t="s">
        <v>1143</v>
      </c>
      <c r="F122" s="53" t="s">
        <v>1144</v>
      </c>
      <c r="G122" s="62" t="s">
        <v>933</v>
      </c>
      <c r="H122" s="161" t="s">
        <v>934</v>
      </c>
      <c r="I122" s="43" t="s">
        <v>935</v>
      </c>
      <c r="J122" s="54" t="s">
        <v>936</v>
      </c>
      <c r="K122" s="13" t="s">
        <v>1136</v>
      </c>
    </row>
    <row r="123" spans="1:58" ht="22.5" customHeight="1" x14ac:dyDescent="0.25">
      <c r="A123" s="61">
        <v>45686</v>
      </c>
      <c r="B123" s="31">
        <v>121</v>
      </c>
      <c r="C123" s="32">
        <v>45701</v>
      </c>
      <c r="D123" s="33">
        <v>0.49305555555555558</v>
      </c>
      <c r="E123" s="13" t="s">
        <v>1145</v>
      </c>
      <c r="F123" s="53" t="s">
        <v>1146</v>
      </c>
      <c r="G123" s="62" t="s">
        <v>933</v>
      </c>
      <c r="H123" s="161" t="s">
        <v>934</v>
      </c>
      <c r="I123" s="43" t="s">
        <v>935</v>
      </c>
      <c r="J123" s="54" t="s">
        <v>936</v>
      </c>
      <c r="K123" s="13" t="s">
        <v>1136</v>
      </c>
    </row>
    <row r="124" spans="1:58" ht="22.5" customHeight="1" x14ac:dyDescent="0.25">
      <c r="A124" s="61">
        <v>45686</v>
      </c>
      <c r="B124" s="31">
        <v>122</v>
      </c>
      <c r="C124" s="32">
        <v>45701</v>
      </c>
      <c r="D124" s="33">
        <v>0.49652777777777779</v>
      </c>
      <c r="E124" s="13" t="s">
        <v>1147</v>
      </c>
      <c r="F124" s="53" t="s">
        <v>1148</v>
      </c>
      <c r="G124" s="62" t="s">
        <v>933</v>
      </c>
      <c r="H124" s="161" t="s">
        <v>934</v>
      </c>
      <c r="I124" s="43" t="s">
        <v>935</v>
      </c>
      <c r="J124" s="54" t="s">
        <v>936</v>
      </c>
      <c r="K124" s="13" t="s">
        <v>1136</v>
      </c>
    </row>
    <row r="125" spans="1:58" ht="25" x14ac:dyDescent="0.25">
      <c r="A125" s="61">
        <v>45687</v>
      </c>
      <c r="B125" s="31">
        <v>123</v>
      </c>
      <c r="C125" s="32">
        <v>45701</v>
      </c>
      <c r="D125" s="33">
        <v>0.5</v>
      </c>
      <c r="E125" s="13" t="s">
        <v>1150</v>
      </c>
      <c r="F125" s="53" t="s">
        <v>1151</v>
      </c>
      <c r="G125" s="62" t="s">
        <v>1152</v>
      </c>
      <c r="H125" s="161" t="s">
        <v>737</v>
      </c>
      <c r="I125" s="43" t="s">
        <v>1153</v>
      </c>
      <c r="J125" s="54" t="s">
        <v>1154</v>
      </c>
      <c r="K125" s="13" t="s">
        <v>63</v>
      </c>
    </row>
    <row r="126" spans="1:58" ht="34.5" customHeight="1" x14ac:dyDescent="0.25">
      <c r="A126" s="69">
        <v>45687</v>
      </c>
      <c r="B126" s="70">
        <v>124</v>
      </c>
      <c r="C126" s="150">
        <v>45701</v>
      </c>
      <c r="D126" s="146">
        <v>0.50347222222222221</v>
      </c>
      <c r="E126" s="68" t="s">
        <v>1155</v>
      </c>
      <c r="F126" s="71" t="s">
        <v>1156</v>
      </c>
      <c r="G126" s="72" t="s">
        <v>1157</v>
      </c>
      <c r="H126" s="164" t="s">
        <v>1158</v>
      </c>
      <c r="I126" s="74" t="s">
        <v>1159</v>
      </c>
      <c r="J126" s="73" t="s">
        <v>1160</v>
      </c>
      <c r="K126" s="68" t="s">
        <v>1161</v>
      </c>
    </row>
    <row r="127" spans="1:58" ht="22.5" customHeight="1" x14ac:dyDescent="0.25">
      <c r="A127" s="61">
        <v>45688</v>
      </c>
      <c r="B127" s="31">
        <v>125</v>
      </c>
      <c r="C127" s="32">
        <v>45715</v>
      </c>
      <c r="D127" s="33">
        <v>0.4375</v>
      </c>
      <c r="E127" s="13" t="s">
        <v>1162</v>
      </c>
      <c r="F127" s="53" t="s">
        <v>1163</v>
      </c>
      <c r="G127" s="62" t="s">
        <v>736</v>
      </c>
      <c r="H127" s="161" t="s">
        <v>737</v>
      </c>
      <c r="I127" s="43" t="s">
        <v>1164</v>
      </c>
      <c r="J127" s="54" t="s">
        <v>1165</v>
      </c>
      <c r="K127" s="13" t="s">
        <v>760</v>
      </c>
    </row>
    <row r="128" spans="1:58" ht="22.5" customHeight="1" x14ac:dyDescent="0.25">
      <c r="A128" s="61">
        <v>45691</v>
      </c>
      <c r="B128" s="31">
        <v>126</v>
      </c>
      <c r="C128" s="32">
        <v>45708</v>
      </c>
      <c r="D128" s="33">
        <v>0.38541666666666669</v>
      </c>
      <c r="E128" s="13" t="s">
        <v>1166</v>
      </c>
      <c r="F128" s="53" t="s">
        <v>1167</v>
      </c>
      <c r="G128" s="62" t="s">
        <v>933</v>
      </c>
      <c r="H128" s="161" t="s">
        <v>934</v>
      </c>
      <c r="I128" s="43" t="s">
        <v>935</v>
      </c>
      <c r="J128" s="54" t="s">
        <v>936</v>
      </c>
      <c r="K128" s="13" t="s">
        <v>1136</v>
      </c>
    </row>
    <row r="129" spans="1:11" ht="22.5" customHeight="1" x14ac:dyDescent="0.25">
      <c r="A129" s="61">
        <v>45691</v>
      </c>
      <c r="B129" s="31">
        <v>127</v>
      </c>
      <c r="C129" s="32">
        <v>45708</v>
      </c>
      <c r="D129" s="33">
        <v>0.3888888888888889</v>
      </c>
      <c r="E129" s="13" t="s">
        <v>1168</v>
      </c>
      <c r="F129" s="53" t="s">
        <v>1169</v>
      </c>
      <c r="G129" s="62" t="s">
        <v>933</v>
      </c>
      <c r="H129" s="161" t="s">
        <v>934</v>
      </c>
      <c r="I129" s="43" t="s">
        <v>935</v>
      </c>
      <c r="J129" s="54" t="s">
        <v>936</v>
      </c>
      <c r="K129" s="13" t="s">
        <v>1136</v>
      </c>
    </row>
    <row r="130" spans="1:11" ht="22.5" customHeight="1" x14ac:dyDescent="0.25">
      <c r="A130" s="61">
        <v>45692</v>
      </c>
      <c r="B130" s="31">
        <v>128</v>
      </c>
      <c r="C130" s="32">
        <v>45708</v>
      </c>
      <c r="D130" s="33">
        <v>0.3923611111111111</v>
      </c>
      <c r="E130" s="13" t="s">
        <v>1170</v>
      </c>
      <c r="F130" s="53" t="s">
        <v>1171</v>
      </c>
      <c r="G130" s="62"/>
      <c r="I130" s="43" t="s">
        <v>1172</v>
      </c>
      <c r="J130" s="54" t="s">
        <v>1173</v>
      </c>
      <c r="K130" s="13" t="s">
        <v>919</v>
      </c>
    </row>
    <row r="131" spans="1:11" ht="22.5" customHeight="1" x14ac:dyDescent="0.25">
      <c r="A131" s="61">
        <v>45692</v>
      </c>
      <c r="B131" s="31">
        <v>129</v>
      </c>
      <c r="C131" s="32">
        <v>45715</v>
      </c>
      <c r="D131" s="33">
        <v>0.44097222222222221</v>
      </c>
      <c r="E131" s="13" t="s">
        <v>1174</v>
      </c>
      <c r="F131" s="53" t="s">
        <v>1175</v>
      </c>
      <c r="G131" s="62"/>
      <c r="I131" s="43" t="s">
        <v>1176</v>
      </c>
      <c r="K131" s="13" t="s">
        <v>919</v>
      </c>
    </row>
    <row r="132" spans="1:11" ht="22.5" customHeight="1" x14ac:dyDescent="0.25">
      <c r="A132" s="61">
        <v>45692</v>
      </c>
      <c r="B132" s="31">
        <v>130</v>
      </c>
      <c r="C132" s="32">
        <v>45708</v>
      </c>
      <c r="D132" s="33">
        <v>0.39583333333333331</v>
      </c>
      <c r="E132" s="13" t="s">
        <v>955</v>
      </c>
      <c r="F132" s="53" t="s">
        <v>956</v>
      </c>
      <c r="G132" s="62" t="s">
        <v>957</v>
      </c>
      <c r="H132" s="161" t="s">
        <v>900</v>
      </c>
      <c r="I132" s="43" t="s">
        <v>1177</v>
      </c>
      <c r="J132" s="54" t="s">
        <v>1178</v>
      </c>
      <c r="K132" s="13" t="s">
        <v>881</v>
      </c>
    </row>
    <row r="133" spans="1:11" ht="22.5" customHeight="1" x14ac:dyDescent="0.25">
      <c r="A133" s="61">
        <v>45693</v>
      </c>
      <c r="B133" s="31">
        <v>131</v>
      </c>
      <c r="C133" s="32">
        <v>45708</v>
      </c>
      <c r="D133" s="33">
        <v>0.39930555555555558</v>
      </c>
      <c r="E133" s="13" t="s">
        <v>1179</v>
      </c>
      <c r="F133" s="53" t="s">
        <v>1180</v>
      </c>
      <c r="G133" s="62"/>
      <c r="I133" s="43" t="s">
        <v>1181</v>
      </c>
      <c r="J133" s="54" t="s">
        <v>1182</v>
      </c>
      <c r="K133" s="13" t="s">
        <v>71</v>
      </c>
    </row>
    <row r="134" spans="1:11" ht="22.5" customHeight="1" x14ac:dyDescent="0.25">
      <c r="A134" s="61">
        <v>45693</v>
      </c>
      <c r="B134" s="31">
        <v>132</v>
      </c>
      <c r="C134" s="32">
        <v>45708</v>
      </c>
      <c r="D134" s="33">
        <v>0.40277777777777779</v>
      </c>
      <c r="E134" s="13" t="s">
        <v>1183</v>
      </c>
      <c r="F134" s="53" t="s">
        <v>1184</v>
      </c>
      <c r="G134" s="62" t="s">
        <v>879</v>
      </c>
      <c r="H134" s="161" t="s">
        <v>880</v>
      </c>
      <c r="I134" s="43" t="s">
        <v>1185</v>
      </c>
      <c r="J134" s="54" t="s">
        <v>1186</v>
      </c>
      <c r="K134" s="13" t="s">
        <v>584</v>
      </c>
    </row>
    <row r="135" spans="1:11" ht="22.5" customHeight="1" x14ac:dyDescent="0.25">
      <c r="A135" s="61">
        <v>45693</v>
      </c>
      <c r="B135" s="31">
        <v>133</v>
      </c>
      <c r="C135" s="32">
        <v>45708</v>
      </c>
      <c r="D135" s="33">
        <v>0.52083333333333337</v>
      </c>
      <c r="E135" s="13" t="s">
        <v>1187</v>
      </c>
      <c r="F135" s="53" t="s">
        <v>1188</v>
      </c>
      <c r="G135" s="62" t="s">
        <v>839</v>
      </c>
      <c r="H135" s="161" t="s">
        <v>840</v>
      </c>
      <c r="I135" s="43" t="s">
        <v>1189</v>
      </c>
      <c r="J135" s="54" t="s">
        <v>1190</v>
      </c>
      <c r="K135" s="13" t="s">
        <v>20</v>
      </c>
    </row>
    <row r="136" spans="1:11" ht="22.5" customHeight="1" x14ac:dyDescent="0.25">
      <c r="A136" s="61">
        <v>45693</v>
      </c>
      <c r="B136" s="31">
        <v>134</v>
      </c>
      <c r="C136" s="32">
        <v>45708</v>
      </c>
      <c r="D136" s="33">
        <v>0.40625</v>
      </c>
      <c r="E136" s="13" t="s">
        <v>1191</v>
      </c>
      <c r="F136" s="53" t="s">
        <v>1192</v>
      </c>
      <c r="G136" s="62" t="s">
        <v>718</v>
      </c>
      <c r="H136" s="161" t="s">
        <v>719</v>
      </c>
      <c r="I136" s="43" t="s">
        <v>1193</v>
      </c>
      <c r="J136" s="54" t="s">
        <v>1194</v>
      </c>
      <c r="K136" s="13" t="s">
        <v>745</v>
      </c>
    </row>
    <row r="137" spans="1:11" ht="22.5" customHeight="1" x14ac:dyDescent="0.25">
      <c r="A137" s="61">
        <v>45695</v>
      </c>
      <c r="B137" s="31">
        <v>135</v>
      </c>
      <c r="C137" s="32">
        <v>45715</v>
      </c>
      <c r="D137" s="33">
        <v>0.44444444444444442</v>
      </c>
      <c r="E137" s="13" t="s">
        <v>1195</v>
      </c>
      <c r="F137" s="53" t="s">
        <v>1196</v>
      </c>
      <c r="G137" s="62" t="s">
        <v>957</v>
      </c>
      <c r="H137" s="161" t="s">
        <v>900</v>
      </c>
      <c r="I137" s="43" t="s">
        <v>912</v>
      </c>
      <c r="J137" s="54" t="s">
        <v>913</v>
      </c>
      <c r="K137" s="13" t="s">
        <v>1197</v>
      </c>
    </row>
    <row r="138" spans="1:11" ht="22.5" customHeight="1" x14ac:dyDescent="0.25">
      <c r="A138" s="61">
        <v>45695</v>
      </c>
      <c r="B138" s="31">
        <v>136</v>
      </c>
      <c r="C138" s="32">
        <v>45715</v>
      </c>
      <c r="D138" s="33">
        <v>0.44791666666666669</v>
      </c>
      <c r="E138" s="13" t="s">
        <v>1198</v>
      </c>
      <c r="F138" s="53" t="s">
        <v>1199</v>
      </c>
      <c r="G138" s="62" t="s">
        <v>718</v>
      </c>
      <c r="H138" s="161" t="s">
        <v>719</v>
      </c>
      <c r="I138" s="43" t="s">
        <v>1200</v>
      </c>
      <c r="J138" s="54" t="s">
        <v>1201</v>
      </c>
      <c r="K138" s="13" t="s">
        <v>745</v>
      </c>
    </row>
    <row r="139" spans="1:11" x14ac:dyDescent="0.25">
      <c r="A139" s="61">
        <v>45698</v>
      </c>
      <c r="B139" s="31">
        <v>137</v>
      </c>
      <c r="C139" s="32">
        <v>45715</v>
      </c>
      <c r="D139" s="33">
        <v>0.4513888888888889</v>
      </c>
      <c r="E139" s="13" t="s">
        <v>1202</v>
      </c>
      <c r="F139" s="53" t="s">
        <v>1203</v>
      </c>
      <c r="G139" s="62" t="s">
        <v>879</v>
      </c>
      <c r="H139" s="161" t="s">
        <v>880</v>
      </c>
      <c r="I139" s="43" t="s">
        <v>560</v>
      </c>
      <c r="J139" s="54" t="s">
        <v>1204</v>
      </c>
      <c r="K139" s="13" t="s">
        <v>881</v>
      </c>
    </row>
    <row r="140" spans="1:11" ht="22.5" customHeight="1" x14ac:dyDescent="0.25">
      <c r="A140" s="61">
        <v>45699</v>
      </c>
      <c r="B140" s="31">
        <v>138</v>
      </c>
      <c r="C140" s="32">
        <v>45722</v>
      </c>
      <c r="D140" s="33">
        <v>0.375</v>
      </c>
      <c r="E140" s="13" t="s">
        <v>1205</v>
      </c>
      <c r="F140" s="53" t="s">
        <v>1206</v>
      </c>
      <c r="G140" s="62" t="s">
        <v>957</v>
      </c>
      <c r="H140" s="161" t="s">
        <v>900</v>
      </c>
      <c r="I140" s="43" t="s">
        <v>1207</v>
      </c>
      <c r="J140" s="54" t="s">
        <v>1208</v>
      </c>
      <c r="K140" s="13" t="s">
        <v>148</v>
      </c>
    </row>
    <row r="141" spans="1:11" ht="22.5" customHeight="1" x14ac:dyDescent="0.25">
      <c r="A141" s="110">
        <v>45699</v>
      </c>
      <c r="B141" s="75" t="s">
        <v>1209</v>
      </c>
      <c r="C141" s="151">
        <v>45702</v>
      </c>
      <c r="D141" s="147">
        <v>0.39583333333333331</v>
      </c>
      <c r="E141" s="13" t="s">
        <v>1210</v>
      </c>
      <c r="F141" s="53" t="s">
        <v>1211</v>
      </c>
      <c r="G141" s="62" t="s">
        <v>1157</v>
      </c>
      <c r="H141" s="161" t="s">
        <v>1158</v>
      </c>
      <c r="I141" s="62" t="s">
        <v>1212</v>
      </c>
      <c r="J141" s="54" t="s">
        <v>1213</v>
      </c>
      <c r="K141" s="13" t="s">
        <v>63</v>
      </c>
    </row>
    <row r="142" spans="1:11" ht="22.5" customHeight="1" x14ac:dyDescent="0.25">
      <c r="A142" s="69">
        <v>45700</v>
      </c>
      <c r="B142" s="70">
        <v>139</v>
      </c>
      <c r="C142" s="150">
        <v>45715</v>
      </c>
      <c r="D142" s="146">
        <v>0.4548611111111111</v>
      </c>
      <c r="E142" s="68" t="s">
        <v>1214</v>
      </c>
      <c r="F142" s="53" t="s">
        <v>1215</v>
      </c>
      <c r="G142" s="62"/>
      <c r="I142" s="43" t="s">
        <v>727</v>
      </c>
      <c r="J142" s="54" t="s">
        <v>728</v>
      </c>
      <c r="K142" s="13" t="s">
        <v>1216</v>
      </c>
    </row>
    <row r="143" spans="1:11" ht="31.5" customHeight="1" x14ac:dyDescent="0.25">
      <c r="A143" s="61">
        <v>45700</v>
      </c>
      <c r="B143" s="31">
        <v>140</v>
      </c>
      <c r="C143" s="32">
        <v>45715</v>
      </c>
      <c r="D143" s="33">
        <v>0.45833333333333331</v>
      </c>
      <c r="E143" s="13" t="s">
        <v>1217</v>
      </c>
      <c r="F143" s="53" t="s">
        <v>1218</v>
      </c>
      <c r="G143" s="62" t="s">
        <v>879</v>
      </c>
      <c r="H143" s="161" t="s">
        <v>880</v>
      </c>
      <c r="I143" s="43" t="s">
        <v>560</v>
      </c>
      <c r="J143" s="54" t="s">
        <v>1204</v>
      </c>
      <c r="K143" s="13" t="s">
        <v>881</v>
      </c>
    </row>
    <row r="144" spans="1:11" ht="22.5" customHeight="1" x14ac:dyDescent="0.25">
      <c r="A144" s="61">
        <v>45700</v>
      </c>
      <c r="B144" s="31">
        <v>141</v>
      </c>
      <c r="C144" s="32">
        <v>45722</v>
      </c>
      <c r="D144" s="33">
        <v>0.37847222222222221</v>
      </c>
      <c r="E144" s="13" t="s">
        <v>1219</v>
      </c>
      <c r="F144" s="53" t="s">
        <v>1220</v>
      </c>
      <c r="G144" s="62" t="s">
        <v>966</v>
      </c>
      <c r="H144" s="161" t="s">
        <v>777</v>
      </c>
      <c r="I144" s="43" t="s">
        <v>1221</v>
      </c>
      <c r="J144" s="54" t="s">
        <v>1222</v>
      </c>
      <c r="K144" s="13" t="s">
        <v>1223</v>
      </c>
    </row>
    <row r="145" spans="1:11" ht="22.5" customHeight="1" x14ac:dyDescent="0.25">
      <c r="A145" s="61">
        <v>45700</v>
      </c>
      <c r="B145" s="31">
        <v>142</v>
      </c>
      <c r="C145" s="32">
        <v>45715</v>
      </c>
      <c r="D145" s="33">
        <v>0.46180555555555558</v>
      </c>
      <c r="E145" s="13" t="s">
        <v>1224</v>
      </c>
      <c r="F145" s="53" t="s">
        <v>1225</v>
      </c>
      <c r="G145" s="62" t="s">
        <v>736</v>
      </c>
      <c r="H145" s="161" t="s">
        <v>737</v>
      </c>
      <c r="I145" s="43" t="s">
        <v>1227</v>
      </c>
      <c r="J145" s="54" t="s">
        <v>1226</v>
      </c>
      <c r="K145" s="13" t="s">
        <v>909</v>
      </c>
    </row>
    <row r="146" spans="1:11" ht="22.5" customHeight="1" x14ac:dyDescent="0.25">
      <c r="A146" s="61">
        <v>45700</v>
      </c>
      <c r="B146" s="31">
        <v>143</v>
      </c>
      <c r="C146" s="32">
        <v>45715</v>
      </c>
      <c r="D146" s="33">
        <v>0.46527777777777779</v>
      </c>
      <c r="E146" s="13" t="s">
        <v>1228</v>
      </c>
      <c r="F146" s="53" t="s">
        <v>1229</v>
      </c>
      <c r="G146" s="62" t="s">
        <v>736</v>
      </c>
      <c r="H146" s="161" t="s">
        <v>737</v>
      </c>
      <c r="I146" s="43" t="s">
        <v>102</v>
      </c>
      <c r="J146" s="54" t="s">
        <v>1070</v>
      </c>
      <c r="K146" s="13" t="s">
        <v>246</v>
      </c>
    </row>
    <row r="147" spans="1:11" ht="22.5" customHeight="1" x14ac:dyDescent="0.25">
      <c r="A147" s="61">
        <v>45700</v>
      </c>
      <c r="B147" s="31">
        <v>144</v>
      </c>
      <c r="C147" s="32">
        <v>45715</v>
      </c>
      <c r="D147" s="33">
        <v>0.46875</v>
      </c>
      <c r="E147" s="13" t="s">
        <v>1228</v>
      </c>
      <c r="F147" s="53" t="s">
        <v>1229</v>
      </c>
      <c r="G147" s="62" t="s">
        <v>736</v>
      </c>
      <c r="H147" s="161" t="s">
        <v>737</v>
      </c>
      <c r="I147" s="43" t="s">
        <v>102</v>
      </c>
      <c r="J147" s="54" t="s">
        <v>1070</v>
      </c>
      <c r="K147" s="13" t="s">
        <v>63</v>
      </c>
    </row>
    <row r="148" spans="1:11" ht="22.5" customHeight="1" x14ac:dyDescent="0.25">
      <c r="A148" s="61">
        <v>45702</v>
      </c>
      <c r="B148" s="31">
        <v>145</v>
      </c>
      <c r="C148" s="32">
        <v>45715</v>
      </c>
      <c r="D148" s="33">
        <v>0.47222222222222221</v>
      </c>
      <c r="E148" s="13" t="s">
        <v>1230</v>
      </c>
      <c r="F148" s="53" t="s">
        <v>1231</v>
      </c>
      <c r="G148" s="62" t="s">
        <v>736</v>
      </c>
      <c r="H148" s="161" t="s">
        <v>737</v>
      </c>
      <c r="I148" s="43" t="s">
        <v>832</v>
      </c>
      <c r="J148" s="54" t="s">
        <v>833</v>
      </c>
      <c r="K148" s="13" t="s">
        <v>407</v>
      </c>
    </row>
    <row r="149" spans="1:11" ht="22.5" customHeight="1" x14ac:dyDescent="0.25">
      <c r="A149" s="61">
        <v>45702</v>
      </c>
      <c r="B149" s="31">
        <v>146</v>
      </c>
      <c r="C149" s="32">
        <v>45715</v>
      </c>
      <c r="D149" s="33">
        <v>0.47569444444444442</v>
      </c>
      <c r="E149" s="13" t="s">
        <v>1232</v>
      </c>
      <c r="F149" s="53" t="s">
        <v>1233</v>
      </c>
      <c r="G149" s="62" t="s">
        <v>718</v>
      </c>
      <c r="H149" s="161" t="s">
        <v>719</v>
      </c>
      <c r="I149" s="62" t="s">
        <v>102</v>
      </c>
      <c r="J149" s="54" t="s">
        <v>1070</v>
      </c>
      <c r="K149" s="13" t="s">
        <v>291</v>
      </c>
    </row>
    <row r="150" spans="1:11" ht="22.5" customHeight="1" x14ac:dyDescent="0.25">
      <c r="A150" s="61">
        <v>45702</v>
      </c>
      <c r="B150" s="31">
        <v>147</v>
      </c>
      <c r="C150" s="32">
        <v>45715</v>
      </c>
      <c r="D150" s="33">
        <v>0.47916666666666669</v>
      </c>
      <c r="E150" s="13" t="s">
        <v>82</v>
      </c>
      <c r="F150" s="53" t="s">
        <v>1234</v>
      </c>
      <c r="G150" s="62" t="s">
        <v>718</v>
      </c>
      <c r="H150" s="161" t="s">
        <v>719</v>
      </c>
      <c r="I150" s="43" t="s">
        <v>1235</v>
      </c>
      <c r="J150" s="54" t="s">
        <v>1236</v>
      </c>
      <c r="K150" s="13" t="s">
        <v>1028</v>
      </c>
    </row>
    <row r="151" spans="1:11" ht="22.5" customHeight="1" x14ac:dyDescent="0.25">
      <c r="A151" s="61">
        <v>45705</v>
      </c>
      <c r="B151" s="31">
        <v>148</v>
      </c>
      <c r="C151" s="32">
        <v>45722</v>
      </c>
      <c r="D151" s="33">
        <v>0.38194444444444442</v>
      </c>
      <c r="E151" s="13" t="s">
        <v>1237</v>
      </c>
      <c r="F151" s="53" t="s">
        <v>1238</v>
      </c>
      <c r="G151" s="62"/>
      <c r="I151" s="43" t="s">
        <v>1239</v>
      </c>
      <c r="J151" s="54" t="s">
        <v>1240</v>
      </c>
      <c r="K151" s="13" t="s">
        <v>71</v>
      </c>
    </row>
    <row r="152" spans="1:11" ht="22.5" customHeight="1" x14ac:dyDescent="0.25">
      <c r="A152" s="61">
        <v>45707</v>
      </c>
      <c r="B152" s="31">
        <v>149</v>
      </c>
      <c r="C152" s="32">
        <v>45722</v>
      </c>
      <c r="D152" s="33">
        <v>0.38541666666666669</v>
      </c>
      <c r="E152" s="13" t="s">
        <v>1241</v>
      </c>
      <c r="F152" s="53" t="s">
        <v>1242</v>
      </c>
      <c r="G152" s="62"/>
      <c r="I152" s="43" t="s">
        <v>1243</v>
      </c>
      <c r="K152" s="13"/>
    </row>
    <row r="153" spans="1:11" ht="22.5" customHeight="1" x14ac:dyDescent="0.25">
      <c r="A153" s="61">
        <v>45707</v>
      </c>
      <c r="B153" s="31">
        <v>150</v>
      </c>
      <c r="C153" s="32">
        <v>45722</v>
      </c>
      <c r="D153" s="33">
        <v>0.3888888888888889</v>
      </c>
      <c r="E153" s="13" t="s">
        <v>1244</v>
      </c>
      <c r="F153" s="53" t="s">
        <v>1245</v>
      </c>
      <c r="G153" s="62" t="s">
        <v>854</v>
      </c>
      <c r="H153" s="161" t="s">
        <v>855</v>
      </c>
      <c r="I153" s="43" t="s">
        <v>912</v>
      </c>
      <c r="J153" s="54" t="s">
        <v>913</v>
      </c>
      <c r="K153" s="13" t="s">
        <v>254</v>
      </c>
    </row>
    <row r="154" spans="1:11" ht="22.5" customHeight="1" x14ac:dyDescent="0.25">
      <c r="A154" s="61">
        <v>45707</v>
      </c>
      <c r="B154" s="31">
        <v>151</v>
      </c>
      <c r="C154" s="32">
        <v>45729</v>
      </c>
      <c r="D154" s="33">
        <v>0.375</v>
      </c>
      <c r="E154" s="13" t="s">
        <v>1246</v>
      </c>
      <c r="F154" s="53" t="s">
        <v>1247</v>
      </c>
      <c r="G154" s="62" t="s">
        <v>1248</v>
      </c>
      <c r="H154" s="161" t="s">
        <v>1158</v>
      </c>
      <c r="I154" s="43" t="s">
        <v>1249</v>
      </c>
      <c r="J154" s="54" t="s">
        <v>1250</v>
      </c>
      <c r="K154" s="13" t="s">
        <v>1251</v>
      </c>
    </row>
    <row r="155" spans="1:11" ht="22.5" customHeight="1" x14ac:dyDescent="0.25">
      <c r="A155" s="61">
        <v>45707</v>
      </c>
      <c r="B155" s="31">
        <v>152</v>
      </c>
      <c r="C155" s="32">
        <v>45722</v>
      </c>
      <c r="D155" s="33">
        <v>0.3923611111111111</v>
      </c>
      <c r="E155" s="13" t="s">
        <v>1252</v>
      </c>
      <c r="F155" s="53" t="s">
        <v>1253</v>
      </c>
      <c r="G155" s="62" t="s">
        <v>854</v>
      </c>
      <c r="H155" s="161" t="s">
        <v>855</v>
      </c>
      <c r="I155" s="43" t="s">
        <v>1254</v>
      </c>
      <c r="J155" s="54" t="s">
        <v>1255</v>
      </c>
      <c r="K155" s="13" t="s">
        <v>1256</v>
      </c>
    </row>
    <row r="156" spans="1:11" ht="22.5" customHeight="1" x14ac:dyDescent="0.25">
      <c r="A156" s="61">
        <v>45709</v>
      </c>
      <c r="B156" s="31">
        <v>153</v>
      </c>
      <c r="C156" s="32">
        <v>45729</v>
      </c>
      <c r="D156" s="33">
        <v>0.37847222222222221</v>
      </c>
      <c r="E156" s="13" t="s">
        <v>1257</v>
      </c>
      <c r="F156" s="53" t="s">
        <v>1258</v>
      </c>
      <c r="G156" s="62"/>
      <c r="I156" s="43" t="s">
        <v>1259</v>
      </c>
      <c r="J156" s="54" t="s">
        <v>1260</v>
      </c>
      <c r="K156" s="13" t="s">
        <v>407</v>
      </c>
    </row>
    <row r="157" spans="1:11" ht="22.5" customHeight="1" x14ac:dyDescent="0.25">
      <c r="A157" s="61">
        <v>45709</v>
      </c>
      <c r="B157" s="31">
        <v>154</v>
      </c>
      <c r="C157" s="32">
        <v>45722</v>
      </c>
      <c r="D157" s="33">
        <v>0.39583333333333331</v>
      </c>
      <c r="E157" s="13" t="s">
        <v>51</v>
      </c>
      <c r="F157" s="53" t="s">
        <v>1261</v>
      </c>
      <c r="G157" s="62" t="s">
        <v>1068</v>
      </c>
      <c r="H157" s="161" t="s">
        <v>1069</v>
      </c>
      <c r="I157" s="43" t="s">
        <v>118</v>
      </c>
      <c r="J157" s="54" t="s">
        <v>764</v>
      </c>
      <c r="K157" s="13" t="s">
        <v>254</v>
      </c>
    </row>
    <row r="158" spans="1:11" ht="22.5" customHeight="1" x14ac:dyDescent="0.25">
      <c r="A158" s="61">
        <v>45712</v>
      </c>
      <c r="B158" s="31">
        <v>155</v>
      </c>
      <c r="C158" s="32">
        <v>45729</v>
      </c>
      <c r="D158" s="33">
        <v>0.38194444444444442</v>
      </c>
      <c r="E158" s="13" t="s">
        <v>1262</v>
      </c>
      <c r="F158" s="53" t="s">
        <v>1263</v>
      </c>
      <c r="G158" s="62" t="s">
        <v>736</v>
      </c>
      <c r="H158" s="161" t="s">
        <v>737</v>
      </c>
      <c r="I158" s="43" t="s">
        <v>832</v>
      </c>
      <c r="J158" s="54" t="s">
        <v>833</v>
      </c>
      <c r="K158" s="13" t="s">
        <v>407</v>
      </c>
    </row>
    <row r="159" spans="1:11" ht="22.5" customHeight="1" x14ac:dyDescent="0.25">
      <c r="A159" s="61">
        <v>45712</v>
      </c>
      <c r="B159" s="31">
        <v>156</v>
      </c>
      <c r="C159" s="32">
        <v>45729</v>
      </c>
      <c r="D159" s="33">
        <v>0.38541666666666669</v>
      </c>
      <c r="E159" s="13" t="s">
        <v>1264</v>
      </c>
      <c r="F159" s="53" t="s">
        <v>1265</v>
      </c>
      <c r="G159" s="62" t="s">
        <v>736</v>
      </c>
      <c r="H159" s="161" t="s">
        <v>1266</v>
      </c>
      <c r="I159" s="43" t="s">
        <v>832</v>
      </c>
      <c r="J159" s="54" t="s">
        <v>833</v>
      </c>
      <c r="K159" s="13" t="s">
        <v>42</v>
      </c>
    </row>
    <row r="160" spans="1:11" ht="22.5" customHeight="1" x14ac:dyDescent="0.25">
      <c r="A160" s="61">
        <v>45713</v>
      </c>
      <c r="B160" s="31">
        <v>157</v>
      </c>
      <c r="C160" s="32">
        <v>45729</v>
      </c>
      <c r="D160" s="33">
        <v>0.3888888888888889</v>
      </c>
      <c r="E160" s="13" t="s">
        <v>1267</v>
      </c>
      <c r="F160" s="53" t="s">
        <v>1268</v>
      </c>
      <c r="G160" s="62" t="s">
        <v>879</v>
      </c>
      <c r="H160" s="161" t="s">
        <v>880</v>
      </c>
      <c r="I160" s="43" t="s">
        <v>560</v>
      </c>
      <c r="J160" s="54" t="s">
        <v>1204</v>
      </c>
      <c r="K160" s="13" t="s">
        <v>881</v>
      </c>
    </row>
    <row r="161" spans="1:11" ht="22.5" customHeight="1" x14ac:dyDescent="0.25">
      <c r="A161" s="61">
        <v>45713</v>
      </c>
      <c r="B161" s="31">
        <v>158</v>
      </c>
      <c r="C161" s="32">
        <v>45729</v>
      </c>
      <c r="D161" s="33">
        <v>0.3923611111111111</v>
      </c>
      <c r="E161" s="13" t="s">
        <v>1269</v>
      </c>
      <c r="F161" s="53" t="s">
        <v>1270</v>
      </c>
      <c r="G161" s="62" t="s">
        <v>879</v>
      </c>
      <c r="H161" s="161" t="s">
        <v>880</v>
      </c>
      <c r="I161" s="43" t="s">
        <v>727</v>
      </c>
      <c r="J161" s="54" t="s">
        <v>728</v>
      </c>
      <c r="K161" s="13" t="s">
        <v>881</v>
      </c>
    </row>
    <row r="162" spans="1:11" ht="22.5" customHeight="1" x14ac:dyDescent="0.25">
      <c r="A162" s="61">
        <v>45714</v>
      </c>
      <c r="B162" s="31">
        <v>159</v>
      </c>
      <c r="C162" s="32">
        <v>45736</v>
      </c>
      <c r="D162" s="33">
        <v>0.375</v>
      </c>
      <c r="E162" s="13" t="s">
        <v>1271</v>
      </c>
      <c r="F162" s="53" t="s">
        <v>1272</v>
      </c>
      <c r="G162" s="62" t="s">
        <v>966</v>
      </c>
      <c r="H162" s="161" t="s">
        <v>777</v>
      </c>
      <c r="I162" s="43" t="s">
        <v>1273</v>
      </c>
      <c r="J162" s="54" t="s">
        <v>1274</v>
      </c>
      <c r="K162" s="13" t="s">
        <v>25</v>
      </c>
    </row>
    <row r="163" spans="1:11" ht="22.5" customHeight="1" x14ac:dyDescent="0.25">
      <c r="A163" s="61">
        <v>45714</v>
      </c>
      <c r="B163" s="31">
        <v>160</v>
      </c>
      <c r="C163" s="32">
        <v>45736</v>
      </c>
      <c r="D163" s="33">
        <v>0.37847222222222221</v>
      </c>
      <c r="E163" s="13" t="s">
        <v>1275</v>
      </c>
      <c r="F163" s="53" t="s">
        <v>1276</v>
      </c>
      <c r="G163" s="62" t="s">
        <v>925</v>
      </c>
      <c r="H163" s="161" t="s">
        <v>926</v>
      </c>
      <c r="I163" s="43" t="s">
        <v>1277</v>
      </c>
      <c r="J163" s="54" t="s">
        <v>1278</v>
      </c>
      <c r="K163" s="13" t="s">
        <v>1279</v>
      </c>
    </row>
    <row r="164" spans="1:11" ht="22.5" customHeight="1" x14ac:dyDescent="0.25">
      <c r="A164" s="61">
        <v>45716</v>
      </c>
      <c r="B164" s="31">
        <v>161</v>
      </c>
      <c r="C164" s="32">
        <v>45736</v>
      </c>
      <c r="D164" s="33">
        <v>0.38194444444444442</v>
      </c>
      <c r="E164" s="13" t="s">
        <v>1280</v>
      </c>
      <c r="F164" s="53" t="s">
        <v>1281</v>
      </c>
      <c r="G164" s="62" t="s">
        <v>925</v>
      </c>
      <c r="H164" s="161" t="s">
        <v>926</v>
      </c>
      <c r="I164" s="43" t="s">
        <v>1277</v>
      </c>
      <c r="J164" s="54" t="s">
        <v>1278</v>
      </c>
      <c r="K164" s="13" t="s">
        <v>1279</v>
      </c>
    </row>
    <row r="165" spans="1:11" ht="22.5" customHeight="1" x14ac:dyDescent="0.25">
      <c r="A165" s="61">
        <v>45716</v>
      </c>
      <c r="B165" s="31">
        <v>162</v>
      </c>
      <c r="C165" s="32">
        <v>45729</v>
      </c>
      <c r="D165" s="33">
        <v>0.39583333333333331</v>
      </c>
      <c r="E165" s="13" t="s">
        <v>1282</v>
      </c>
      <c r="F165" s="53" t="s">
        <v>1283</v>
      </c>
      <c r="G165" s="62" t="s">
        <v>854</v>
      </c>
      <c r="H165" s="161" t="s">
        <v>855</v>
      </c>
      <c r="I165" s="43" t="s">
        <v>1284</v>
      </c>
      <c r="J165" s="54" t="s">
        <v>1015</v>
      </c>
      <c r="K165" s="13" t="s">
        <v>254</v>
      </c>
    </row>
    <row r="166" spans="1:11" ht="22.5" customHeight="1" x14ac:dyDescent="0.25">
      <c r="A166" s="61">
        <v>45716</v>
      </c>
      <c r="B166" s="31">
        <v>163</v>
      </c>
      <c r="C166" s="32">
        <v>45736</v>
      </c>
      <c r="D166" s="33">
        <v>0.38541666666666669</v>
      </c>
      <c r="E166" s="13" t="s">
        <v>1285</v>
      </c>
      <c r="F166" s="53" t="s">
        <v>1286</v>
      </c>
      <c r="G166" s="62" t="s">
        <v>736</v>
      </c>
      <c r="H166" s="161" t="s">
        <v>737</v>
      </c>
      <c r="I166" s="43" t="s">
        <v>1287</v>
      </c>
      <c r="J166" s="54" t="s">
        <v>1288</v>
      </c>
      <c r="K166" s="13" t="s">
        <v>42</v>
      </c>
    </row>
    <row r="167" spans="1:11" ht="22.5" customHeight="1" x14ac:dyDescent="0.25">
      <c r="A167" s="61">
        <v>45716</v>
      </c>
      <c r="B167" s="31">
        <v>164</v>
      </c>
      <c r="C167" s="32">
        <v>45736</v>
      </c>
      <c r="D167" s="33">
        <v>0.3888888888888889</v>
      </c>
      <c r="E167" s="13" t="s">
        <v>1289</v>
      </c>
      <c r="F167" s="53" t="s">
        <v>1290</v>
      </c>
      <c r="G167" s="62" t="s">
        <v>736</v>
      </c>
      <c r="H167" s="161" t="s">
        <v>737</v>
      </c>
      <c r="I167" s="43" t="s">
        <v>1287</v>
      </c>
      <c r="J167" s="54" t="s">
        <v>1288</v>
      </c>
      <c r="K167" s="13" t="s">
        <v>42</v>
      </c>
    </row>
    <row r="168" spans="1:11" ht="22.5" customHeight="1" x14ac:dyDescent="0.25">
      <c r="A168" s="61">
        <v>45716</v>
      </c>
      <c r="B168" s="31">
        <v>165</v>
      </c>
      <c r="C168" s="32">
        <v>45736</v>
      </c>
      <c r="D168" s="33">
        <v>0.3923611111111111</v>
      </c>
      <c r="E168" s="13" t="s">
        <v>1291</v>
      </c>
      <c r="F168" s="53" t="s">
        <v>1292</v>
      </c>
      <c r="G168" s="62" t="s">
        <v>957</v>
      </c>
      <c r="H168" s="161" t="s">
        <v>900</v>
      </c>
      <c r="I168" s="43" t="s">
        <v>727</v>
      </c>
      <c r="J168" s="54" t="s">
        <v>728</v>
      </c>
      <c r="K168" s="13" t="s">
        <v>1293</v>
      </c>
    </row>
    <row r="169" spans="1:11" ht="22.5" customHeight="1" x14ac:dyDescent="0.25">
      <c r="A169" s="61">
        <v>45719</v>
      </c>
      <c r="B169" s="31">
        <v>166</v>
      </c>
      <c r="C169" s="32">
        <v>45736</v>
      </c>
      <c r="D169" s="33">
        <v>0.39583333333333331</v>
      </c>
      <c r="E169" s="13" t="s">
        <v>1294</v>
      </c>
      <c r="F169" s="53" t="s">
        <v>1295</v>
      </c>
      <c r="G169" s="62" t="s">
        <v>957</v>
      </c>
      <c r="H169" s="161" t="s">
        <v>900</v>
      </c>
      <c r="I169" s="43" t="s">
        <v>727</v>
      </c>
      <c r="J169" s="54" t="s">
        <v>728</v>
      </c>
      <c r="K169" s="13" t="s">
        <v>881</v>
      </c>
    </row>
    <row r="170" spans="1:11" ht="22.5" customHeight="1" x14ac:dyDescent="0.25">
      <c r="A170" s="65">
        <v>45719</v>
      </c>
      <c r="B170" s="31">
        <v>167</v>
      </c>
      <c r="C170" s="32">
        <v>45736</v>
      </c>
      <c r="D170" s="33">
        <v>0.39930555555555558</v>
      </c>
      <c r="E170" s="13" t="s">
        <v>1296</v>
      </c>
      <c r="F170" s="53" t="s">
        <v>1297</v>
      </c>
      <c r="G170" s="62" t="s">
        <v>736</v>
      </c>
      <c r="H170" s="161" t="s">
        <v>737</v>
      </c>
      <c r="I170" s="43" t="s">
        <v>1153</v>
      </c>
      <c r="J170" s="54" t="s">
        <v>1154</v>
      </c>
      <c r="K170" s="13" t="s">
        <v>63</v>
      </c>
    </row>
    <row r="171" spans="1:11" ht="22.5" customHeight="1" x14ac:dyDescent="0.25">
      <c r="A171" s="61">
        <v>45719</v>
      </c>
      <c r="B171" s="31">
        <v>168</v>
      </c>
      <c r="C171" s="32">
        <v>45736</v>
      </c>
      <c r="D171" s="33">
        <v>0.52083333333333337</v>
      </c>
      <c r="E171" s="13" t="s">
        <v>1298</v>
      </c>
      <c r="F171" s="53" t="s">
        <v>1299</v>
      </c>
      <c r="G171" s="62" t="s">
        <v>839</v>
      </c>
      <c r="H171" s="161" t="s">
        <v>840</v>
      </c>
      <c r="I171" s="43" t="s">
        <v>1300</v>
      </c>
      <c r="J171" s="54" t="s">
        <v>770</v>
      </c>
      <c r="K171" s="13" t="s">
        <v>25</v>
      </c>
    </row>
    <row r="172" spans="1:11" x14ac:dyDescent="0.25">
      <c r="A172" s="61">
        <v>45719</v>
      </c>
      <c r="B172" s="31">
        <v>169</v>
      </c>
      <c r="C172" s="32">
        <v>45743</v>
      </c>
      <c r="D172" s="33">
        <v>0.41666666666666669</v>
      </c>
      <c r="E172" s="6" t="s">
        <v>1301</v>
      </c>
      <c r="F172" s="53" t="s">
        <v>1302</v>
      </c>
      <c r="G172" s="62" t="s">
        <v>736</v>
      </c>
      <c r="H172" s="161" t="s">
        <v>737</v>
      </c>
      <c r="I172" s="43" t="s">
        <v>1063</v>
      </c>
      <c r="J172" s="54" t="s">
        <v>1064</v>
      </c>
      <c r="K172" s="13" t="s">
        <v>914</v>
      </c>
    </row>
    <row r="173" spans="1:11" ht="22.5" customHeight="1" x14ac:dyDescent="0.25">
      <c r="A173" s="61">
        <v>45721</v>
      </c>
      <c r="B173" s="31">
        <v>170</v>
      </c>
      <c r="C173" s="32">
        <v>45743</v>
      </c>
      <c r="D173" s="33">
        <v>0.4201388888888889</v>
      </c>
      <c r="E173" s="13" t="s">
        <v>220</v>
      </c>
      <c r="F173" s="53" t="s">
        <v>1303</v>
      </c>
      <c r="G173" s="62" t="s">
        <v>1304</v>
      </c>
      <c r="H173" s="161" t="s">
        <v>1305</v>
      </c>
      <c r="I173" s="43" t="s">
        <v>1306</v>
      </c>
      <c r="J173" s="54" t="s">
        <v>1307</v>
      </c>
      <c r="K173" s="13" t="s">
        <v>919</v>
      </c>
    </row>
    <row r="174" spans="1:11" ht="22.5" customHeight="1" x14ac:dyDescent="0.25">
      <c r="A174" s="61">
        <v>45723</v>
      </c>
      <c r="B174" s="31">
        <v>171</v>
      </c>
      <c r="C174" s="32">
        <v>45736</v>
      </c>
      <c r="D174" s="33">
        <v>0.40277777777777779</v>
      </c>
      <c r="E174" s="13" t="s">
        <v>1308</v>
      </c>
      <c r="F174" s="53" t="s">
        <v>1309</v>
      </c>
      <c r="G174" s="62" t="s">
        <v>1248</v>
      </c>
      <c r="H174" s="161" t="s">
        <v>1158</v>
      </c>
      <c r="I174" s="43" t="s">
        <v>1310</v>
      </c>
      <c r="J174" s="54" t="s">
        <v>1311</v>
      </c>
      <c r="K174" s="13" t="s">
        <v>1312</v>
      </c>
    </row>
    <row r="175" spans="1:11" ht="22.5" customHeight="1" x14ac:dyDescent="0.25">
      <c r="A175" s="61">
        <v>45728</v>
      </c>
      <c r="B175" s="31">
        <v>172</v>
      </c>
      <c r="C175" s="32">
        <v>45743</v>
      </c>
      <c r="D175" s="33">
        <v>0.4236111111111111</v>
      </c>
      <c r="E175" s="13" t="s">
        <v>1313</v>
      </c>
      <c r="F175" s="53" t="s">
        <v>1314</v>
      </c>
      <c r="G175" s="62" t="s">
        <v>879</v>
      </c>
      <c r="H175" s="161" t="s">
        <v>880</v>
      </c>
      <c r="I175" s="43" t="s">
        <v>1315</v>
      </c>
      <c r="J175" s="54" t="s">
        <v>1316</v>
      </c>
      <c r="K175" s="13" t="s">
        <v>63</v>
      </c>
    </row>
    <row r="176" spans="1:11" ht="22.5" customHeight="1" x14ac:dyDescent="0.25">
      <c r="A176" s="61">
        <v>45728</v>
      </c>
      <c r="B176" s="31">
        <v>173</v>
      </c>
      <c r="C176" s="32">
        <v>45743</v>
      </c>
      <c r="D176" s="33">
        <v>0.42708333333333331</v>
      </c>
      <c r="E176" s="13" t="s">
        <v>313</v>
      </c>
      <c r="F176" s="53" t="s">
        <v>1317</v>
      </c>
      <c r="G176" s="62"/>
      <c r="I176" s="43" t="s">
        <v>727</v>
      </c>
      <c r="J176" s="54" t="s">
        <v>728</v>
      </c>
      <c r="K176" s="13" t="s">
        <v>1318</v>
      </c>
    </row>
    <row r="177" spans="1:11" ht="22.5" customHeight="1" x14ac:dyDescent="0.25">
      <c r="A177" s="61">
        <v>45728</v>
      </c>
      <c r="B177" s="31">
        <v>174</v>
      </c>
      <c r="C177" s="32">
        <v>45743</v>
      </c>
      <c r="D177" s="33">
        <v>0.43055555555555558</v>
      </c>
      <c r="E177" s="13" t="s">
        <v>1319</v>
      </c>
      <c r="F177" s="53" t="s">
        <v>1320</v>
      </c>
      <c r="G177" s="62" t="s">
        <v>736</v>
      </c>
      <c r="H177" s="161" t="s">
        <v>737</v>
      </c>
      <c r="I177" s="43" t="s">
        <v>1321</v>
      </c>
      <c r="J177" s="54" t="s">
        <v>1322</v>
      </c>
      <c r="K177" s="13" t="s">
        <v>760</v>
      </c>
    </row>
    <row r="178" spans="1:11" ht="22.5" customHeight="1" x14ac:dyDescent="0.25">
      <c r="A178" s="61">
        <v>45728</v>
      </c>
      <c r="B178" s="31">
        <v>175</v>
      </c>
      <c r="C178" s="32">
        <v>45743</v>
      </c>
      <c r="D178" s="33">
        <v>0.43402777777777779</v>
      </c>
      <c r="E178" s="13" t="s">
        <v>1323</v>
      </c>
      <c r="F178" s="53" t="s">
        <v>1324</v>
      </c>
      <c r="G178" s="62" t="s">
        <v>1068</v>
      </c>
      <c r="H178" s="161" t="s">
        <v>1069</v>
      </c>
      <c r="I178" s="43" t="s">
        <v>118</v>
      </c>
      <c r="J178" s="54" t="s">
        <v>764</v>
      </c>
      <c r="K178" s="13" t="s">
        <v>584</v>
      </c>
    </row>
    <row r="179" spans="1:11" ht="22.5" customHeight="1" x14ac:dyDescent="0.25">
      <c r="A179" s="61">
        <v>45729</v>
      </c>
      <c r="B179" s="31">
        <v>176</v>
      </c>
      <c r="C179" s="32">
        <v>45743</v>
      </c>
      <c r="D179" s="33">
        <v>0.4375</v>
      </c>
      <c r="E179" s="13" t="s">
        <v>1325</v>
      </c>
      <c r="F179" s="53" t="s">
        <v>1326</v>
      </c>
      <c r="G179" s="62" t="s">
        <v>1327</v>
      </c>
      <c r="H179" s="161" t="s">
        <v>1328</v>
      </c>
      <c r="I179" s="43" t="s">
        <v>727</v>
      </c>
      <c r="J179" s="54" t="s">
        <v>728</v>
      </c>
      <c r="K179" s="13" t="s">
        <v>919</v>
      </c>
    </row>
    <row r="180" spans="1:11" ht="22.5" customHeight="1" x14ac:dyDescent="0.25">
      <c r="A180" s="61">
        <v>45730</v>
      </c>
      <c r="B180" s="31">
        <v>177</v>
      </c>
      <c r="C180" s="32">
        <v>45743</v>
      </c>
      <c r="D180" s="33">
        <v>0.44097222222222221</v>
      </c>
      <c r="E180" s="13" t="s">
        <v>1329</v>
      </c>
      <c r="F180" s="53" t="s">
        <v>1330</v>
      </c>
      <c r="G180" s="62"/>
      <c r="I180" s="43" t="s">
        <v>1331</v>
      </c>
      <c r="J180" s="54" t="s">
        <v>1332</v>
      </c>
      <c r="K180" s="13" t="s">
        <v>1333</v>
      </c>
    </row>
    <row r="181" spans="1:11" ht="22.5" customHeight="1" x14ac:dyDescent="0.25">
      <c r="A181" s="61">
        <v>45730</v>
      </c>
      <c r="B181" s="31">
        <v>178</v>
      </c>
      <c r="C181" s="32">
        <v>45750</v>
      </c>
      <c r="D181" s="33">
        <v>0.375</v>
      </c>
      <c r="E181" s="13" t="s">
        <v>1334</v>
      </c>
      <c r="F181" s="53" t="s">
        <v>1335</v>
      </c>
      <c r="G181" s="62" t="s">
        <v>718</v>
      </c>
      <c r="H181" s="161" t="s">
        <v>719</v>
      </c>
      <c r="I181" s="43" t="s">
        <v>102</v>
      </c>
      <c r="J181" s="54" t="s">
        <v>1070</v>
      </c>
      <c r="K181" s="13" t="s">
        <v>1336</v>
      </c>
    </row>
    <row r="182" spans="1:11" ht="22.5" customHeight="1" x14ac:dyDescent="0.25">
      <c r="A182" s="61">
        <v>45733</v>
      </c>
      <c r="B182" s="31">
        <v>179</v>
      </c>
      <c r="C182" s="32">
        <v>45750</v>
      </c>
      <c r="D182" s="33">
        <v>0.37847222222222221</v>
      </c>
      <c r="E182" s="13" t="s">
        <v>1337</v>
      </c>
      <c r="F182" s="53" t="s">
        <v>1338</v>
      </c>
      <c r="G182" s="62" t="s">
        <v>1339</v>
      </c>
      <c r="H182" s="161" t="s">
        <v>1008</v>
      </c>
      <c r="I182" s="43" t="s">
        <v>295</v>
      </c>
      <c r="J182" s="54" t="s">
        <v>1340</v>
      </c>
      <c r="K182" s="13" t="s">
        <v>929</v>
      </c>
    </row>
    <row r="183" spans="1:11" ht="22.5" customHeight="1" x14ac:dyDescent="0.25">
      <c r="A183" s="61">
        <v>45733</v>
      </c>
      <c r="B183" s="31">
        <v>180</v>
      </c>
      <c r="C183" s="32">
        <v>45750</v>
      </c>
      <c r="D183" s="33">
        <v>0.38194444444444442</v>
      </c>
      <c r="E183" s="13" t="s">
        <v>1341</v>
      </c>
      <c r="F183" s="54" t="s">
        <v>1342</v>
      </c>
      <c r="G183" s="62" t="s">
        <v>779</v>
      </c>
      <c r="H183" s="161" t="s">
        <v>784</v>
      </c>
      <c r="I183" s="43" t="s">
        <v>1343</v>
      </c>
      <c r="J183" s="54" t="s">
        <v>1344</v>
      </c>
      <c r="K183" s="13" t="s">
        <v>1345</v>
      </c>
    </row>
    <row r="184" spans="1:11" ht="22.5" customHeight="1" x14ac:dyDescent="0.25">
      <c r="A184" s="61">
        <v>45733</v>
      </c>
      <c r="B184" s="31">
        <v>181</v>
      </c>
      <c r="C184" s="32">
        <v>45750</v>
      </c>
      <c r="D184" s="33">
        <v>0.38541666666666669</v>
      </c>
      <c r="E184" s="13" t="s">
        <v>527</v>
      </c>
      <c r="F184" s="53" t="s">
        <v>1346</v>
      </c>
      <c r="G184" s="62" t="s">
        <v>779</v>
      </c>
      <c r="H184" s="161" t="s">
        <v>784</v>
      </c>
      <c r="I184" s="43" t="s">
        <v>1343</v>
      </c>
      <c r="J184" s="54" t="s">
        <v>1344</v>
      </c>
      <c r="K184" s="13" t="s">
        <v>1345</v>
      </c>
    </row>
    <row r="185" spans="1:11" ht="22.5" customHeight="1" x14ac:dyDescent="0.25">
      <c r="A185" s="61">
        <v>45733</v>
      </c>
      <c r="B185" s="31">
        <v>182</v>
      </c>
      <c r="C185" s="32">
        <v>45750</v>
      </c>
      <c r="D185" s="33">
        <v>0.3888888888888889</v>
      </c>
      <c r="E185" s="13" t="s">
        <v>1347</v>
      </c>
      <c r="F185" s="53" t="s">
        <v>1348</v>
      </c>
      <c r="G185" s="62" t="s">
        <v>779</v>
      </c>
      <c r="H185" s="161" t="s">
        <v>784</v>
      </c>
      <c r="I185" s="43" t="s">
        <v>1343</v>
      </c>
      <c r="J185" s="54" t="s">
        <v>1344</v>
      </c>
      <c r="K185" s="13" t="s">
        <v>1345</v>
      </c>
    </row>
    <row r="186" spans="1:11" ht="22.5" customHeight="1" x14ac:dyDescent="0.25">
      <c r="A186" s="61">
        <v>45735</v>
      </c>
      <c r="B186" s="31">
        <v>183</v>
      </c>
      <c r="C186" s="32">
        <v>45750</v>
      </c>
      <c r="D186" s="33">
        <v>0.52083333333333337</v>
      </c>
      <c r="E186" s="13" t="s">
        <v>1349</v>
      </c>
      <c r="F186" s="53" t="s">
        <v>1350</v>
      </c>
      <c r="G186" s="62" t="s">
        <v>839</v>
      </c>
      <c r="H186" s="161" t="s">
        <v>840</v>
      </c>
      <c r="I186" s="43" t="s">
        <v>1351</v>
      </c>
      <c r="J186" s="54" t="s">
        <v>1352</v>
      </c>
      <c r="K186" s="13" t="s">
        <v>25</v>
      </c>
    </row>
    <row r="187" spans="1:11" ht="22.5" customHeight="1" x14ac:dyDescent="0.25">
      <c r="A187" s="61">
        <v>45735</v>
      </c>
      <c r="B187" s="31">
        <v>184</v>
      </c>
      <c r="C187" s="32">
        <v>45750</v>
      </c>
      <c r="D187" s="33">
        <v>0.52430555555555558</v>
      </c>
      <c r="E187" s="13" t="s">
        <v>1353</v>
      </c>
      <c r="F187" s="53" t="s">
        <v>1354</v>
      </c>
      <c r="G187" s="62" t="s">
        <v>839</v>
      </c>
      <c r="H187" s="161" t="s">
        <v>840</v>
      </c>
      <c r="I187" s="43" t="s">
        <v>1189</v>
      </c>
      <c r="J187" s="54" t="s">
        <v>1190</v>
      </c>
      <c r="K187" s="13" t="s">
        <v>20</v>
      </c>
    </row>
    <row r="188" spans="1:11" ht="22.5" customHeight="1" x14ac:dyDescent="0.25">
      <c r="A188" s="61">
        <v>45734</v>
      </c>
      <c r="B188" s="31">
        <v>185</v>
      </c>
      <c r="C188" s="32">
        <v>45750</v>
      </c>
      <c r="D188" s="33">
        <v>0.3923611111111111</v>
      </c>
      <c r="E188" s="13" t="s">
        <v>1355</v>
      </c>
      <c r="F188" s="53" t="s">
        <v>1356</v>
      </c>
      <c r="G188" s="62" t="s">
        <v>736</v>
      </c>
      <c r="H188" s="161" t="s">
        <v>737</v>
      </c>
      <c r="I188" s="43" t="s">
        <v>1357</v>
      </c>
      <c r="J188" s="54" t="s">
        <v>954</v>
      </c>
      <c r="K188" s="13" t="s">
        <v>407</v>
      </c>
    </row>
    <row r="189" spans="1:11" ht="22.5" customHeight="1" x14ac:dyDescent="0.25">
      <c r="A189" s="61">
        <v>45735</v>
      </c>
      <c r="B189" s="31">
        <v>186</v>
      </c>
      <c r="C189" s="32">
        <v>45750</v>
      </c>
      <c r="D189" s="33">
        <v>0.39583333333333331</v>
      </c>
      <c r="E189" s="13" t="s">
        <v>1359</v>
      </c>
      <c r="F189" s="53" t="s">
        <v>1358</v>
      </c>
      <c r="G189" s="62" t="s">
        <v>879</v>
      </c>
      <c r="H189" s="161" t="s">
        <v>880</v>
      </c>
      <c r="I189" s="43" t="s">
        <v>727</v>
      </c>
      <c r="J189" s="54" t="s">
        <v>728</v>
      </c>
      <c r="K189" s="13" t="s">
        <v>881</v>
      </c>
    </row>
    <row r="190" spans="1:11" ht="22.5" customHeight="1" x14ac:dyDescent="0.25">
      <c r="A190" s="61">
        <v>45735</v>
      </c>
      <c r="B190" s="31">
        <v>187</v>
      </c>
      <c r="C190" s="32">
        <v>45757</v>
      </c>
      <c r="D190" s="33">
        <v>0.375</v>
      </c>
      <c r="E190" s="13" t="s">
        <v>1360</v>
      </c>
      <c r="F190" s="53" t="s">
        <v>1361</v>
      </c>
      <c r="G190" s="62"/>
      <c r="I190" s="43" t="s">
        <v>1362</v>
      </c>
      <c r="J190" s="54" t="s">
        <v>1095</v>
      </c>
      <c r="K190" s="13" t="s">
        <v>1028</v>
      </c>
    </row>
    <row r="191" spans="1:11" ht="22.5" customHeight="1" x14ac:dyDescent="0.25">
      <c r="A191" s="61">
        <v>45735</v>
      </c>
      <c r="B191" s="31">
        <v>188</v>
      </c>
      <c r="C191" s="32">
        <v>45750</v>
      </c>
      <c r="D191" s="33">
        <v>0.39930555555555558</v>
      </c>
      <c r="E191" s="13" t="s">
        <v>1228</v>
      </c>
      <c r="F191" s="53" t="s">
        <v>1229</v>
      </c>
      <c r="G191" s="62" t="s">
        <v>736</v>
      </c>
      <c r="H191" s="161" t="s">
        <v>737</v>
      </c>
      <c r="I191" s="43" t="s">
        <v>102</v>
      </c>
      <c r="J191" s="54" t="s">
        <v>1070</v>
      </c>
      <c r="K191" s="13" t="s">
        <v>42</v>
      </c>
    </row>
    <row r="192" spans="1:11" ht="22.5" customHeight="1" x14ac:dyDescent="0.25">
      <c r="A192" s="61">
        <v>45735</v>
      </c>
      <c r="B192" s="31">
        <v>189</v>
      </c>
      <c r="C192" s="32">
        <v>45750</v>
      </c>
      <c r="D192" s="33">
        <v>0.40277777777777779</v>
      </c>
      <c r="E192" s="13" t="s">
        <v>1369</v>
      </c>
      <c r="F192" s="53" t="s">
        <v>1363</v>
      </c>
      <c r="G192" s="62" t="s">
        <v>1364</v>
      </c>
      <c r="H192" s="161" t="s">
        <v>1365</v>
      </c>
      <c r="I192" s="43" t="s">
        <v>1366</v>
      </c>
      <c r="J192" s="54" t="s">
        <v>1367</v>
      </c>
      <c r="K192" s="13" t="s">
        <v>1368</v>
      </c>
    </row>
    <row r="193" spans="1:58" ht="22.5" customHeight="1" x14ac:dyDescent="0.25">
      <c r="A193" s="61">
        <v>45737</v>
      </c>
      <c r="B193" s="31">
        <v>190</v>
      </c>
      <c r="C193" s="32">
        <v>45750</v>
      </c>
      <c r="D193" s="33">
        <v>0.40625</v>
      </c>
      <c r="E193" s="13" t="s">
        <v>1370</v>
      </c>
      <c r="F193" s="53" t="s">
        <v>1371</v>
      </c>
      <c r="G193" s="62"/>
      <c r="I193" s="43" t="s">
        <v>1372</v>
      </c>
      <c r="J193" s="54" t="s">
        <v>1373</v>
      </c>
      <c r="K193" s="13" t="s">
        <v>1374</v>
      </c>
    </row>
    <row r="194" spans="1:58" ht="22.5" customHeight="1" x14ac:dyDescent="0.25">
      <c r="A194" s="61">
        <v>45740</v>
      </c>
      <c r="B194" s="31">
        <v>191</v>
      </c>
      <c r="C194" s="32">
        <v>45757</v>
      </c>
      <c r="D194" s="33">
        <v>0.37847222222222221</v>
      </c>
      <c r="E194" s="13" t="s">
        <v>992</v>
      </c>
      <c r="F194" s="53" t="s">
        <v>990</v>
      </c>
      <c r="G194" s="62" t="s">
        <v>718</v>
      </c>
      <c r="H194" s="161" t="s">
        <v>719</v>
      </c>
      <c r="I194" s="43" t="s">
        <v>1375</v>
      </c>
      <c r="J194" s="54" t="s">
        <v>993</v>
      </c>
      <c r="K194" s="13" t="s">
        <v>1376</v>
      </c>
    </row>
    <row r="195" spans="1:58" x14ac:dyDescent="0.25">
      <c r="A195" s="61">
        <v>45740</v>
      </c>
      <c r="B195" s="31">
        <v>192</v>
      </c>
      <c r="C195" s="32">
        <v>45757</v>
      </c>
      <c r="D195" s="33">
        <v>0.38194444444444442</v>
      </c>
      <c r="E195" s="13" t="s">
        <v>1183</v>
      </c>
      <c r="F195" s="53" t="s">
        <v>1184</v>
      </c>
      <c r="G195" s="62" t="s">
        <v>879</v>
      </c>
      <c r="H195" s="161" t="s">
        <v>880</v>
      </c>
      <c r="I195" s="43" t="s">
        <v>1377</v>
      </c>
      <c r="J195" s="54" t="s">
        <v>1378</v>
      </c>
      <c r="K195" s="13" t="s">
        <v>584</v>
      </c>
    </row>
    <row r="196" spans="1:58" ht="32.25" customHeight="1" x14ac:dyDescent="0.25">
      <c r="A196" s="61">
        <v>45741</v>
      </c>
      <c r="B196" s="31">
        <v>193</v>
      </c>
      <c r="C196" s="32">
        <v>45757</v>
      </c>
      <c r="D196" s="33">
        <v>0.38541666666666669</v>
      </c>
      <c r="E196" s="13" t="s">
        <v>1379</v>
      </c>
      <c r="F196" s="53" t="s">
        <v>1380</v>
      </c>
      <c r="G196" s="62" t="s">
        <v>1381</v>
      </c>
      <c r="H196" s="161" t="s">
        <v>1382</v>
      </c>
      <c r="I196" s="43" t="s">
        <v>1357</v>
      </c>
      <c r="J196" s="54" t="s">
        <v>954</v>
      </c>
      <c r="K196" s="13" t="s">
        <v>881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</row>
    <row r="197" spans="1:58" ht="22.5" customHeight="1" x14ac:dyDescent="0.25">
      <c r="A197" s="61">
        <v>45743</v>
      </c>
      <c r="B197" s="31">
        <v>194</v>
      </c>
      <c r="C197" s="32">
        <v>45757</v>
      </c>
      <c r="D197" s="33" t="s">
        <v>1383</v>
      </c>
      <c r="E197" s="13" t="s">
        <v>1384</v>
      </c>
      <c r="F197" s="53" t="s">
        <v>1385</v>
      </c>
      <c r="G197" s="62" t="s">
        <v>736</v>
      </c>
      <c r="H197" s="161" t="s">
        <v>737</v>
      </c>
      <c r="I197" s="43" t="s">
        <v>727</v>
      </c>
      <c r="J197" s="54" t="s">
        <v>728</v>
      </c>
      <c r="K197" s="13" t="s">
        <v>1386</v>
      </c>
    </row>
    <row r="198" spans="1:58" ht="22.5" customHeight="1" x14ac:dyDescent="0.25">
      <c r="A198" s="61">
        <v>45744</v>
      </c>
      <c r="B198" s="31">
        <v>195</v>
      </c>
      <c r="C198" s="32">
        <v>45771</v>
      </c>
      <c r="D198" s="33">
        <v>0.4375</v>
      </c>
      <c r="E198" s="13" t="s">
        <v>1387</v>
      </c>
      <c r="F198" s="53" t="s">
        <v>1388</v>
      </c>
      <c r="G198" s="62" t="s">
        <v>718</v>
      </c>
      <c r="H198" s="161" t="s">
        <v>719</v>
      </c>
      <c r="I198" s="43" t="s">
        <v>1389</v>
      </c>
      <c r="J198" s="54" t="s">
        <v>1390</v>
      </c>
      <c r="K198" s="13" t="s">
        <v>42</v>
      </c>
    </row>
    <row r="199" spans="1:58" ht="22.5" customHeight="1" x14ac:dyDescent="0.25">
      <c r="A199" s="61">
        <v>45744</v>
      </c>
      <c r="B199" s="31">
        <v>196</v>
      </c>
      <c r="C199" s="32">
        <v>45771</v>
      </c>
      <c r="D199" s="33">
        <v>0.44097222222222221</v>
      </c>
      <c r="E199" s="13" t="s">
        <v>1391</v>
      </c>
      <c r="F199" s="53" t="s">
        <v>1392</v>
      </c>
      <c r="G199" s="62" t="s">
        <v>1068</v>
      </c>
      <c r="H199" s="161" t="s">
        <v>1069</v>
      </c>
      <c r="I199" s="43" t="s">
        <v>102</v>
      </c>
      <c r="J199" s="54" t="s">
        <v>1070</v>
      </c>
      <c r="K199" s="13" t="s">
        <v>1393</v>
      </c>
    </row>
    <row r="200" spans="1:58" ht="22.5" customHeight="1" x14ac:dyDescent="0.25">
      <c r="A200" s="61">
        <v>45744</v>
      </c>
      <c r="B200" s="31">
        <v>197</v>
      </c>
      <c r="C200" s="32">
        <v>45771</v>
      </c>
      <c r="D200" s="33">
        <v>0.44444444444444442</v>
      </c>
      <c r="E200" s="13" t="s">
        <v>1394</v>
      </c>
      <c r="F200" s="53" t="s">
        <v>1395</v>
      </c>
      <c r="G200" s="62" t="s">
        <v>1068</v>
      </c>
      <c r="H200" s="161" t="s">
        <v>1069</v>
      </c>
      <c r="I200" s="43" t="s">
        <v>102</v>
      </c>
      <c r="J200" s="54" t="s">
        <v>1070</v>
      </c>
      <c r="K200" s="13" t="s">
        <v>1393</v>
      </c>
    </row>
    <row r="201" spans="1:58" x14ac:dyDescent="0.25">
      <c r="A201" s="61">
        <v>45744</v>
      </c>
      <c r="B201" s="31">
        <v>198</v>
      </c>
      <c r="C201" s="32">
        <v>45771</v>
      </c>
      <c r="D201" s="33">
        <v>0.44791666666666669</v>
      </c>
      <c r="E201" s="13" t="s">
        <v>1396</v>
      </c>
      <c r="F201" s="53" t="s">
        <v>1397</v>
      </c>
      <c r="G201" s="62" t="s">
        <v>1068</v>
      </c>
      <c r="H201" s="161" t="s">
        <v>1069</v>
      </c>
      <c r="I201" s="43" t="s">
        <v>102</v>
      </c>
      <c r="J201" s="54" t="s">
        <v>1070</v>
      </c>
      <c r="K201" s="13" t="s">
        <v>1393</v>
      </c>
    </row>
    <row r="202" spans="1:58" ht="38.25" customHeight="1" x14ac:dyDescent="0.25">
      <c r="A202" s="61">
        <v>45744</v>
      </c>
      <c r="B202" s="31">
        <v>199</v>
      </c>
      <c r="C202" s="32">
        <v>45771</v>
      </c>
      <c r="D202" s="33">
        <v>0.4513888888888889</v>
      </c>
      <c r="E202" s="13" t="s">
        <v>1398</v>
      </c>
      <c r="F202" s="53" t="s">
        <v>1399</v>
      </c>
      <c r="G202" s="62" t="s">
        <v>1400</v>
      </c>
      <c r="H202" s="161" t="s">
        <v>1401</v>
      </c>
      <c r="I202" s="43" t="s">
        <v>1402</v>
      </c>
      <c r="J202" s="54" t="s">
        <v>1403</v>
      </c>
      <c r="K202" s="13" t="s">
        <v>192</v>
      </c>
    </row>
    <row r="203" spans="1:58" ht="125" x14ac:dyDescent="0.25">
      <c r="A203" s="61">
        <v>45745</v>
      </c>
      <c r="B203" s="31">
        <v>200</v>
      </c>
      <c r="C203" s="32">
        <v>45771</v>
      </c>
      <c r="D203" s="33">
        <v>0.4548611111111111</v>
      </c>
      <c r="E203" s="13" t="s">
        <v>1404</v>
      </c>
      <c r="F203" s="54" t="s">
        <v>1405</v>
      </c>
      <c r="G203" s="62" t="s">
        <v>736</v>
      </c>
      <c r="H203" s="161" t="s">
        <v>737</v>
      </c>
      <c r="I203" s="62" t="s">
        <v>1408</v>
      </c>
      <c r="J203" s="54" t="s">
        <v>1406</v>
      </c>
      <c r="K203" s="13" t="s">
        <v>1407</v>
      </c>
    </row>
    <row r="204" spans="1:58" ht="22.5" customHeight="1" x14ac:dyDescent="0.25">
      <c r="A204" s="61">
        <v>45747</v>
      </c>
      <c r="B204" s="31">
        <v>201</v>
      </c>
      <c r="C204" s="32">
        <v>45771</v>
      </c>
      <c r="D204" s="33">
        <v>0.45833333333333331</v>
      </c>
      <c r="E204" s="13" t="s">
        <v>1409</v>
      </c>
      <c r="F204" s="53" t="s">
        <v>1410</v>
      </c>
      <c r="G204" s="62" t="s">
        <v>1411</v>
      </c>
      <c r="H204" s="161" t="s">
        <v>1412</v>
      </c>
      <c r="I204" s="43" t="s">
        <v>1413</v>
      </c>
      <c r="J204" s="54" t="s">
        <v>1414</v>
      </c>
      <c r="K204" s="13" t="s">
        <v>881</v>
      </c>
    </row>
    <row r="205" spans="1:58" ht="22.5" customHeight="1" x14ac:dyDescent="0.25">
      <c r="A205" s="61">
        <v>45748</v>
      </c>
      <c r="B205" s="31">
        <v>202</v>
      </c>
      <c r="C205" s="32">
        <v>45771</v>
      </c>
      <c r="D205" s="33">
        <v>0.46180555555555558</v>
      </c>
      <c r="E205" s="13" t="s">
        <v>1415</v>
      </c>
      <c r="F205" s="53" t="s">
        <v>1416</v>
      </c>
      <c r="G205" s="62" t="s">
        <v>854</v>
      </c>
      <c r="H205" s="161" t="s">
        <v>855</v>
      </c>
      <c r="I205" s="62" t="s">
        <v>1417</v>
      </c>
      <c r="J205" s="54" t="s">
        <v>1418</v>
      </c>
      <c r="K205" s="13" t="s">
        <v>1419</v>
      </c>
    </row>
    <row r="206" spans="1:58" ht="22.5" customHeight="1" x14ac:dyDescent="0.25">
      <c r="A206" s="61">
        <v>45748</v>
      </c>
      <c r="B206" s="31">
        <v>203</v>
      </c>
      <c r="C206" s="32">
        <v>45771</v>
      </c>
      <c r="D206" s="33">
        <v>0.5</v>
      </c>
      <c r="E206" s="13" t="s">
        <v>1420</v>
      </c>
      <c r="F206" s="53" t="s">
        <v>1421</v>
      </c>
      <c r="G206" s="62" t="s">
        <v>839</v>
      </c>
      <c r="H206" s="161" t="s">
        <v>840</v>
      </c>
      <c r="I206" s="43" t="s">
        <v>1422</v>
      </c>
      <c r="K206" s="13" t="s">
        <v>25</v>
      </c>
    </row>
    <row r="207" spans="1:58" ht="22.5" customHeight="1" x14ac:dyDescent="0.25">
      <c r="A207" s="61">
        <v>45754</v>
      </c>
      <c r="B207" s="31">
        <v>204</v>
      </c>
      <c r="C207" s="32">
        <v>45771</v>
      </c>
      <c r="D207" s="33">
        <v>0.46527777777777779</v>
      </c>
      <c r="E207" s="13" t="s">
        <v>1441</v>
      </c>
      <c r="F207" s="53" t="s">
        <v>1442</v>
      </c>
      <c r="G207" s="62" t="s">
        <v>736</v>
      </c>
      <c r="H207" s="161" t="s">
        <v>737</v>
      </c>
      <c r="I207" s="43" t="s">
        <v>1443</v>
      </c>
      <c r="J207" s="54" t="s">
        <v>1444</v>
      </c>
      <c r="K207" s="13" t="s">
        <v>1445</v>
      </c>
    </row>
    <row r="208" spans="1:58" ht="22.5" customHeight="1" x14ac:dyDescent="0.25">
      <c r="A208" s="61">
        <v>45749</v>
      </c>
      <c r="B208" s="31">
        <v>205</v>
      </c>
      <c r="C208" s="32">
        <v>45771</v>
      </c>
      <c r="D208" s="33">
        <v>0.46875</v>
      </c>
      <c r="E208" s="13" t="s">
        <v>1423</v>
      </c>
      <c r="F208" s="53" t="s">
        <v>1424</v>
      </c>
      <c r="G208" s="62" t="s">
        <v>879</v>
      </c>
      <c r="H208" s="161" t="s">
        <v>880</v>
      </c>
      <c r="I208" s="43" t="s">
        <v>1425</v>
      </c>
      <c r="J208" s="54" t="s">
        <v>1426</v>
      </c>
      <c r="K208" s="13" t="s">
        <v>1427</v>
      </c>
    </row>
    <row r="209" spans="1:11" ht="22.5" customHeight="1" x14ac:dyDescent="0.25">
      <c r="A209" s="61">
        <v>45750</v>
      </c>
      <c r="B209" s="31">
        <v>206</v>
      </c>
      <c r="C209" s="32">
        <v>45771</v>
      </c>
      <c r="D209" s="33">
        <v>0.47222222222222221</v>
      </c>
      <c r="E209" s="13" t="s">
        <v>1428</v>
      </c>
      <c r="F209" s="53" t="s">
        <v>1429</v>
      </c>
      <c r="G209" s="62" t="s">
        <v>966</v>
      </c>
      <c r="H209" s="161" t="s">
        <v>777</v>
      </c>
      <c r="I209" s="62" t="s">
        <v>1343</v>
      </c>
      <c r="J209" s="54" t="s">
        <v>1344</v>
      </c>
      <c r="K209" s="13" t="s">
        <v>1430</v>
      </c>
    </row>
    <row r="210" spans="1:11" ht="22.5" customHeight="1" x14ac:dyDescent="0.25">
      <c r="A210" s="61">
        <v>45750</v>
      </c>
      <c r="B210" s="31">
        <v>207</v>
      </c>
      <c r="C210" s="32">
        <v>45771</v>
      </c>
      <c r="D210" s="33">
        <v>0.50347222222222221</v>
      </c>
      <c r="E210" s="13" t="s">
        <v>1431</v>
      </c>
      <c r="F210" s="53" t="s">
        <v>1432</v>
      </c>
      <c r="G210" s="62" t="s">
        <v>839</v>
      </c>
      <c r="H210" s="161" t="s">
        <v>840</v>
      </c>
      <c r="I210" s="43" t="s">
        <v>953</v>
      </c>
      <c r="J210" s="54" t="s">
        <v>954</v>
      </c>
      <c r="K210" s="13" t="s">
        <v>20</v>
      </c>
    </row>
    <row r="211" spans="1:11" ht="22.5" customHeight="1" x14ac:dyDescent="0.25">
      <c r="A211" s="61">
        <v>45750</v>
      </c>
      <c r="B211" s="31">
        <v>208</v>
      </c>
      <c r="C211" s="32">
        <v>45771</v>
      </c>
      <c r="D211" s="33">
        <v>0.50694444444444442</v>
      </c>
      <c r="E211" s="13" t="s">
        <v>1433</v>
      </c>
      <c r="F211" s="53" t="s">
        <v>1434</v>
      </c>
      <c r="G211" s="62" t="s">
        <v>839</v>
      </c>
      <c r="H211" s="161" t="s">
        <v>840</v>
      </c>
      <c r="I211" s="43" t="s">
        <v>1435</v>
      </c>
      <c r="J211" s="54" t="s">
        <v>1436</v>
      </c>
      <c r="K211" s="13" t="s">
        <v>25</v>
      </c>
    </row>
    <row r="212" spans="1:11" ht="22.5" customHeight="1" x14ac:dyDescent="0.25">
      <c r="A212" s="61">
        <v>45750</v>
      </c>
      <c r="B212" s="31">
        <v>209</v>
      </c>
      <c r="C212" s="32">
        <v>45777</v>
      </c>
      <c r="D212" s="33">
        <v>0.4375</v>
      </c>
      <c r="E212" s="13" t="s">
        <v>1437</v>
      </c>
      <c r="F212" s="53" t="s">
        <v>1438</v>
      </c>
      <c r="G212" s="62" t="s">
        <v>962</v>
      </c>
      <c r="H212" s="161" t="s">
        <v>763</v>
      </c>
      <c r="I212" s="43" t="s">
        <v>1439</v>
      </c>
      <c r="J212" s="54" t="s">
        <v>1440</v>
      </c>
      <c r="K212" s="13" t="s">
        <v>1216</v>
      </c>
    </row>
    <row r="213" spans="1:11" ht="22.5" customHeight="1" x14ac:dyDescent="0.25">
      <c r="A213" s="61">
        <v>45754</v>
      </c>
      <c r="B213" s="31">
        <v>210</v>
      </c>
      <c r="C213" s="32">
        <v>45771</v>
      </c>
      <c r="D213" s="33">
        <v>0.51041666666666663</v>
      </c>
      <c r="E213" s="13" t="s">
        <v>1446</v>
      </c>
      <c r="F213" s="53" t="s">
        <v>1447</v>
      </c>
      <c r="G213" s="62" t="s">
        <v>839</v>
      </c>
      <c r="H213" s="161" t="s">
        <v>840</v>
      </c>
      <c r="I213" s="43" t="s">
        <v>1448</v>
      </c>
      <c r="J213" s="54" t="s">
        <v>1449</v>
      </c>
      <c r="K213" s="13" t="s">
        <v>1450</v>
      </c>
    </row>
    <row r="214" spans="1:11" ht="22.5" customHeight="1" x14ac:dyDescent="0.25">
      <c r="A214" s="61" t="s">
        <v>1451</v>
      </c>
      <c r="B214" s="31">
        <v>211</v>
      </c>
      <c r="C214" s="32">
        <v>45771</v>
      </c>
      <c r="D214" s="33">
        <v>0.47569444444444442</v>
      </c>
      <c r="E214" s="13" t="s">
        <v>1452</v>
      </c>
      <c r="F214" s="53" t="s">
        <v>1453</v>
      </c>
      <c r="G214" s="62" t="s">
        <v>1068</v>
      </c>
      <c r="H214" s="161" t="s">
        <v>1069</v>
      </c>
      <c r="I214" s="43" t="s">
        <v>1454</v>
      </c>
      <c r="J214" s="54" t="s">
        <v>1455</v>
      </c>
      <c r="K214" s="13" t="s">
        <v>584</v>
      </c>
    </row>
    <row r="215" spans="1:11" ht="22.5" customHeight="1" x14ac:dyDescent="0.25">
      <c r="A215" s="61">
        <v>45389</v>
      </c>
      <c r="B215" s="31">
        <v>212</v>
      </c>
      <c r="C215" s="32">
        <v>45771</v>
      </c>
      <c r="D215" s="33">
        <v>0.47916666666666669</v>
      </c>
      <c r="E215" s="13" t="s">
        <v>1456</v>
      </c>
      <c r="F215" s="53" t="s">
        <v>1457</v>
      </c>
      <c r="G215" s="62" t="s">
        <v>1339</v>
      </c>
      <c r="H215" s="161" t="s">
        <v>1008</v>
      </c>
      <c r="I215" s="62" t="s">
        <v>1458</v>
      </c>
      <c r="J215" s="54" t="s">
        <v>1459</v>
      </c>
      <c r="K215" s="13" t="s">
        <v>881</v>
      </c>
    </row>
    <row r="216" spans="1:11" ht="22.5" customHeight="1" x14ac:dyDescent="0.25">
      <c r="A216" s="61">
        <v>45749</v>
      </c>
      <c r="B216" s="31">
        <v>213</v>
      </c>
      <c r="C216" s="32">
        <v>45771</v>
      </c>
      <c r="D216" s="33">
        <v>0.4826388888888889</v>
      </c>
      <c r="E216" s="13" t="s">
        <v>1460</v>
      </c>
      <c r="F216" s="53" t="s">
        <v>1461</v>
      </c>
      <c r="G216" s="62"/>
      <c r="I216" s="43" t="s">
        <v>1462</v>
      </c>
      <c r="J216" s="54" t="s">
        <v>1463</v>
      </c>
      <c r="K216" s="13" t="s">
        <v>25</v>
      </c>
    </row>
    <row r="217" spans="1:11" ht="22.5" customHeight="1" x14ac:dyDescent="0.25">
      <c r="A217" s="61">
        <v>45756</v>
      </c>
      <c r="B217" s="31">
        <v>214</v>
      </c>
      <c r="C217" s="32">
        <v>45771</v>
      </c>
      <c r="D217" s="33">
        <v>0.4861111111111111</v>
      </c>
      <c r="E217" s="13" t="s">
        <v>1464</v>
      </c>
      <c r="F217" s="53" t="s">
        <v>1465</v>
      </c>
      <c r="G217" s="62" t="s">
        <v>854</v>
      </c>
      <c r="H217" s="161" t="s">
        <v>855</v>
      </c>
      <c r="I217" s="43" t="s">
        <v>102</v>
      </c>
      <c r="J217" s="54" t="s">
        <v>1070</v>
      </c>
      <c r="K217" s="13" t="s">
        <v>254</v>
      </c>
    </row>
    <row r="218" spans="1:11" ht="22.5" customHeight="1" x14ac:dyDescent="0.25">
      <c r="A218" s="61">
        <v>45758</v>
      </c>
      <c r="B218" s="31">
        <v>215</v>
      </c>
      <c r="C218" s="32">
        <v>45777</v>
      </c>
      <c r="D218" s="33">
        <v>0.44097222222222221</v>
      </c>
      <c r="E218" s="13" t="s">
        <v>1464</v>
      </c>
      <c r="F218" s="53" t="s">
        <v>1465</v>
      </c>
      <c r="G218" s="62" t="s">
        <v>854</v>
      </c>
      <c r="H218" s="161" t="s">
        <v>855</v>
      </c>
      <c r="I218" s="43" t="s">
        <v>102</v>
      </c>
      <c r="J218" s="54" t="s">
        <v>1070</v>
      </c>
      <c r="K218" s="13" t="s">
        <v>66</v>
      </c>
    </row>
    <row r="219" spans="1:11" ht="22.5" customHeight="1" x14ac:dyDescent="0.25">
      <c r="A219" s="61">
        <v>45759</v>
      </c>
      <c r="B219" s="31">
        <v>216</v>
      </c>
      <c r="C219" s="32">
        <v>45777</v>
      </c>
      <c r="D219" s="33">
        <v>0.44444444444444442</v>
      </c>
      <c r="E219" s="13" t="s">
        <v>1466</v>
      </c>
      <c r="F219" s="53" t="s">
        <v>1467</v>
      </c>
      <c r="G219" s="62" t="s">
        <v>1381</v>
      </c>
      <c r="H219" s="161" t="s">
        <v>1382</v>
      </c>
      <c r="I219" s="43" t="s">
        <v>295</v>
      </c>
      <c r="J219" s="54" t="s">
        <v>1340</v>
      </c>
      <c r="K219" s="13" t="s">
        <v>1468</v>
      </c>
    </row>
    <row r="220" spans="1:11" ht="22.5" customHeight="1" x14ac:dyDescent="0.25">
      <c r="A220" s="61">
        <v>45761</v>
      </c>
      <c r="B220" s="31">
        <v>217</v>
      </c>
      <c r="C220" s="32">
        <v>45785</v>
      </c>
      <c r="D220" s="33">
        <v>0.375</v>
      </c>
      <c r="E220" s="13" t="s">
        <v>1469</v>
      </c>
      <c r="F220" s="53" t="s">
        <v>1470</v>
      </c>
      <c r="G220" s="62" t="s">
        <v>957</v>
      </c>
      <c r="H220" s="161" t="s">
        <v>900</v>
      </c>
      <c r="I220" s="43" t="s">
        <v>1471</v>
      </c>
      <c r="J220" s="54" t="s">
        <v>1472</v>
      </c>
      <c r="K220" s="13" t="s">
        <v>148</v>
      </c>
    </row>
    <row r="221" spans="1:11" ht="22.5" customHeight="1" x14ac:dyDescent="0.25">
      <c r="A221" s="61">
        <v>45761</v>
      </c>
      <c r="B221" s="31">
        <v>218</v>
      </c>
      <c r="C221" s="32">
        <v>45777</v>
      </c>
      <c r="D221" s="33">
        <v>0.44791666666666669</v>
      </c>
      <c r="E221" s="13" t="s">
        <v>1473</v>
      </c>
      <c r="F221" s="53" t="s">
        <v>1474</v>
      </c>
      <c r="G221" s="62" t="s">
        <v>32</v>
      </c>
      <c r="H221" s="161" t="s">
        <v>1475</v>
      </c>
      <c r="I221" s="43" t="s">
        <v>118</v>
      </c>
      <c r="J221" s="54" t="s">
        <v>764</v>
      </c>
      <c r="K221" s="13" t="s">
        <v>1476</v>
      </c>
    </row>
    <row r="222" spans="1:11" ht="78" customHeight="1" x14ac:dyDescent="0.25">
      <c r="A222" s="61">
        <v>45762</v>
      </c>
      <c r="B222" s="31">
        <v>219</v>
      </c>
      <c r="C222" s="32">
        <v>45777</v>
      </c>
      <c r="D222" s="33">
        <v>0.4513888888888889</v>
      </c>
      <c r="E222" s="13" t="s">
        <v>1477</v>
      </c>
      <c r="F222" s="53" t="s">
        <v>1478</v>
      </c>
      <c r="G222" s="62" t="s">
        <v>736</v>
      </c>
      <c r="H222" s="161" t="s">
        <v>737</v>
      </c>
      <c r="I222" s="43" t="s">
        <v>1479</v>
      </c>
      <c r="J222" s="54" t="s">
        <v>1480</v>
      </c>
      <c r="K222" s="13" t="s">
        <v>246</v>
      </c>
    </row>
    <row r="223" spans="1:11" ht="43.5" customHeight="1" x14ac:dyDescent="0.25">
      <c r="A223" s="61">
        <v>45762</v>
      </c>
      <c r="B223" s="31">
        <v>220</v>
      </c>
      <c r="C223" s="32">
        <v>45777</v>
      </c>
      <c r="D223" s="33">
        <v>0.4548611111111111</v>
      </c>
      <c r="E223" s="13" t="s">
        <v>1482</v>
      </c>
      <c r="F223" s="53" t="s">
        <v>1481</v>
      </c>
      <c r="G223" s="62" t="s">
        <v>736</v>
      </c>
      <c r="H223" s="161" t="s">
        <v>737</v>
      </c>
      <c r="I223" s="43" t="s">
        <v>1479</v>
      </c>
      <c r="J223" s="54" t="s">
        <v>1480</v>
      </c>
      <c r="K223" s="13" t="s">
        <v>246</v>
      </c>
    </row>
    <row r="224" spans="1:11" ht="36.75" customHeight="1" x14ac:dyDescent="0.25">
      <c r="A224" s="61">
        <v>45763</v>
      </c>
      <c r="B224" s="31">
        <v>221</v>
      </c>
      <c r="C224" s="32">
        <v>45792</v>
      </c>
      <c r="D224" s="33">
        <v>0.4375</v>
      </c>
      <c r="E224" s="13" t="s">
        <v>1296</v>
      </c>
      <c r="F224" s="53" t="s">
        <v>1297</v>
      </c>
      <c r="G224" s="62" t="s">
        <v>736</v>
      </c>
      <c r="H224" s="161" t="s">
        <v>737</v>
      </c>
      <c r="I224" s="43" t="s">
        <v>1483</v>
      </c>
      <c r="J224" s="54" t="s">
        <v>1484</v>
      </c>
      <c r="K224" s="13" t="s">
        <v>1485</v>
      </c>
    </row>
    <row r="225" spans="1:58" ht="22.5" customHeight="1" x14ac:dyDescent="0.25">
      <c r="A225" s="61">
        <v>45769</v>
      </c>
      <c r="B225" s="31">
        <v>222</v>
      </c>
      <c r="C225" s="32">
        <v>45785</v>
      </c>
      <c r="D225" s="33">
        <v>0.37847222222222221</v>
      </c>
      <c r="E225" s="13" t="s">
        <v>1486</v>
      </c>
      <c r="F225" s="53" t="s">
        <v>1487</v>
      </c>
      <c r="G225" s="62" t="s">
        <v>736</v>
      </c>
      <c r="H225" s="161" t="s">
        <v>737</v>
      </c>
      <c r="I225" s="43" t="s">
        <v>1488</v>
      </c>
      <c r="J225" s="54" t="s">
        <v>1449</v>
      </c>
      <c r="K225" s="13" t="s">
        <v>1489</v>
      </c>
    </row>
    <row r="226" spans="1:58" ht="22.5" customHeight="1" x14ac:dyDescent="0.25">
      <c r="A226" s="61">
        <v>45770</v>
      </c>
      <c r="B226" s="31">
        <v>223</v>
      </c>
      <c r="C226" s="32">
        <v>45785</v>
      </c>
      <c r="D226" s="33">
        <v>0.38194444444444442</v>
      </c>
      <c r="E226" s="13" t="s">
        <v>244</v>
      </c>
      <c r="F226" s="53" t="s">
        <v>1490</v>
      </c>
      <c r="G226" s="62" t="s">
        <v>736</v>
      </c>
      <c r="H226" s="161" t="s">
        <v>737</v>
      </c>
      <c r="I226" s="43" t="s">
        <v>1491</v>
      </c>
      <c r="J226" s="54" t="s">
        <v>1492</v>
      </c>
      <c r="K226" s="13" t="s">
        <v>246</v>
      </c>
    </row>
    <row r="227" spans="1:58" ht="22.5" customHeight="1" x14ac:dyDescent="0.25">
      <c r="A227" s="61">
        <v>45770</v>
      </c>
      <c r="B227" s="31">
        <v>224</v>
      </c>
      <c r="C227" s="32">
        <v>45785</v>
      </c>
      <c r="D227" s="33">
        <v>0.38541666666666669</v>
      </c>
      <c r="E227" s="13" t="s">
        <v>280</v>
      </c>
      <c r="F227" s="53" t="s">
        <v>1493</v>
      </c>
      <c r="G227" s="62" t="s">
        <v>879</v>
      </c>
      <c r="H227" s="161" t="s">
        <v>880</v>
      </c>
      <c r="I227" s="43" t="s">
        <v>102</v>
      </c>
      <c r="J227" s="54" t="s">
        <v>1070</v>
      </c>
      <c r="K227" s="13" t="s">
        <v>881</v>
      </c>
    </row>
    <row r="228" spans="1:58" ht="22.5" customHeight="1" x14ac:dyDescent="0.25">
      <c r="A228" s="61">
        <v>45771</v>
      </c>
      <c r="B228" s="31">
        <v>225</v>
      </c>
      <c r="C228" s="32">
        <v>45792</v>
      </c>
      <c r="D228" s="33">
        <v>0.43402777777777779</v>
      </c>
      <c r="E228" s="13" t="s">
        <v>1498</v>
      </c>
      <c r="F228" s="53" t="s">
        <v>1494</v>
      </c>
      <c r="G228" s="62" t="s">
        <v>1327</v>
      </c>
      <c r="H228" s="161" t="s">
        <v>1328</v>
      </c>
      <c r="I228" s="43" t="s">
        <v>1495</v>
      </c>
      <c r="J228" s="54" t="s">
        <v>1496</v>
      </c>
      <c r="K228" s="13" t="s">
        <v>1497</v>
      </c>
    </row>
    <row r="229" spans="1:58" ht="22.5" customHeight="1" x14ac:dyDescent="0.25">
      <c r="A229" s="61">
        <v>45771</v>
      </c>
      <c r="B229" s="31">
        <v>226</v>
      </c>
      <c r="C229" s="32">
        <v>45792</v>
      </c>
      <c r="D229" s="33">
        <v>0.43055555555555558</v>
      </c>
      <c r="E229" s="13" t="s">
        <v>1498</v>
      </c>
      <c r="F229" s="53" t="s">
        <v>1494</v>
      </c>
      <c r="G229" s="62" t="s">
        <v>1327</v>
      </c>
      <c r="H229" s="161" t="s">
        <v>1328</v>
      </c>
      <c r="I229" s="43" t="s">
        <v>1495</v>
      </c>
      <c r="J229" s="54" t="s">
        <v>1496</v>
      </c>
      <c r="K229" s="13" t="s">
        <v>919</v>
      </c>
    </row>
    <row r="230" spans="1:58" ht="22.5" customHeight="1" x14ac:dyDescent="0.25">
      <c r="A230" s="61">
        <v>45771</v>
      </c>
      <c r="B230" s="31">
        <v>227</v>
      </c>
      <c r="C230" s="32">
        <v>45799</v>
      </c>
      <c r="D230" s="33">
        <v>0.375</v>
      </c>
      <c r="E230" s="13" t="s">
        <v>1499</v>
      </c>
      <c r="F230" s="53" t="s">
        <v>1500</v>
      </c>
      <c r="G230" s="62"/>
      <c r="I230" s="43" t="s">
        <v>1501</v>
      </c>
      <c r="J230" s="54" t="s">
        <v>1502</v>
      </c>
      <c r="K230" s="13" t="s">
        <v>481</v>
      </c>
    </row>
    <row r="231" spans="1:58" ht="21.75" customHeight="1" x14ac:dyDescent="0.25">
      <c r="A231" s="61">
        <v>45772</v>
      </c>
      <c r="B231" s="31">
        <v>228</v>
      </c>
      <c r="C231" s="32">
        <v>45799</v>
      </c>
      <c r="D231" s="33">
        <v>0.37847222222222221</v>
      </c>
      <c r="E231" s="13" t="s">
        <v>897</v>
      </c>
      <c r="F231" s="53" t="s">
        <v>898</v>
      </c>
      <c r="G231" s="62" t="s">
        <v>957</v>
      </c>
      <c r="H231" s="161" t="s">
        <v>900</v>
      </c>
      <c r="I231" s="43" t="s">
        <v>1503</v>
      </c>
      <c r="J231" s="54" t="s">
        <v>1504</v>
      </c>
      <c r="K231" s="13" t="s">
        <v>903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</row>
    <row r="232" spans="1:58" ht="22.5" customHeight="1" x14ac:dyDescent="0.25">
      <c r="A232" s="61">
        <v>45772</v>
      </c>
      <c r="B232" s="31">
        <v>229</v>
      </c>
      <c r="C232" s="32">
        <v>45799</v>
      </c>
      <c r="D232" s="33">
        <v>0.38194444444444442</v>
      </c>
      <c r="E232" s="13" t="s">
        <v>897</v>
      </c>
      <c r="F232" s="53" t="s">
        <v>898</v>
      </c>
      <c r="G232" s="62" t="s">
        <v>957</v>
      </c>
      <c r="H232" s="161" t="s">
        <v>900</v>
      </c>
      <c r="I232" s="43" t="s">
        <v>1503</v>
      </c>
      <c r="J232" s="54" t="s">
        <v>1504</v>
      </c>
      <c r="K232" s="13" t="s">
        <v>881</v>
      </c>
    </row>
    <row r="233" spans="1:58" ht="22.5" customHeight="1" x14ac:dyDescent="0.25">
      <c r="A233" s="61">
        <v>45772</v>
      </c>
      <c r="B233" s="31">
        <v>230</v>
      </c>
      <c r="C233" s="32">
        <v>45792</v>
      </c>
      <c r="D233" s="33">
        <v>0.42708333333333331</v>
      </c>
      <c r="E233" s="13" t="s">
        <v>1505</v>
      </c>
      <c r="F233" s="53" t="s">
        <v>1506</v>
      </c>
      <c r="G233" s="62" t="s">
        <v>1248</v>
      </c>
      <c r="H233" s="161" t="s">
        <v>1158</v>
      </c>
      <c r="I233" s="43" t="s">
        <v>118</v>
      </c>
      <c r="J233" s="54" t="s">
        <v>764</v>
      </c>
      <c r="K233" s="13" t="s">
        <v>1251</v>
      </c>
    </row>
    <row r="234" spans="1:58" ht="22.5" customHeight="1" x14ac:dyDescent="0.25">
      <c r="A234" s="61">
        <v>45772</v>
      </c>
      <c r="B234" s="31">
        <v>231</v>
      </c>
      <c r="C234" s="32">
        <v>45792</v>
      </c>
      <c r="D234" s="33">
        <v>0.44097222222222221</v>
      </c>
      <c r="E234" s="13" t="s">
        <v>1446</v>
      </c>
      <c r="F234" s="53" t="s">
        <v>1447</v>
      </c>
      <c r="G234" s="62" t="s">
        <v>839</v>
      </c>
      <c r="H234" s="161" t="s">
        <v>840</v>
      </c>
      <c r="I234" s="43" t="s">
        <v>1488</v>
      </c>
      <c r="J234" s="54" t="s">
        <v>1449</v>
      </c>
      <c r="K234" s="13" t="s">
        <v>25</v>
      </c>
    </row>
    <row r="235" spans="1:58" ht="22.5" customHeight="1" x14ac:dyDescent="0.25">
      <c r="A235" s="61">
        <v>45772</v>
      </c>
      <c r="B235" s="31">
        <v>232</v>
      </c>
      <c r="C235" s="32">
        <v>45792</v>
      </c>
      <c r="D235" s="33">
        <v>0.4236111111111111</v>
      </c>
      <c r="E235" s="13" t="s">
        <v>1507</v>
      </c>
      <c r="F235" s="53" t="s">
        <v>1508</v>
      </c>
      <c r="G235" s="62" t="s">
        <v>736</v>
      </c>
      <c r="H235" s="161" t="s">
        <v>737</v>
      </c>
      <c r="I235" s="43" t="s">
        <v>1509</v>
      </c>
      <c r="J235" s="54" t="s">
        <v>1510</v>
      </c>
      <c r="K235" s="13" t="s">
        <v>760</v>
      </c>
    </row>
    <row r="236" spans="1:58" ht="22.5" customHeight="1" x14ac:dyDescent="0.25">
      <c r="A236" s="61">
        <v>45776</v>
      </c>
      <c r="B236" s="31">
        <v>233</v>
      </c>
      <c r="C236" s="32">
        <v>45799</v>
      </c>
      <c r="D236" s="33">
        <v>0.38541666666666669</v>
      </c>
      <c r="E236" s="13" t="s">
        <v>1511</v>
      </c>
      <c r="F236" s="53" t="s">
        <v>1512</v>
      </c>
      <c r="G236" s="62" t="s">
        <v>718</v>
      </c>
      <c r="H236" s="161" t="s">
        <v>719</v>
      </c>
      <c r="I236" s="43" t="s">
        <v>1513</v>
      </c>
      <c r="J236" s="54" t="s">
        <v>1514</v>
      </c>
      <c r="K236" s="13" t="s">
        <v>1028</v>
      </c>
    </row>
    <row r="237" spans="1:58" ht="22.5" customHeight="1" x14ac:dyDescent="0.25">
      <c r="A237" s="61">
        <v>45776</v>
      </c>
      <c r="B237" s="31">
        <v>234</v>
      </c>
      <c r="C237" s="32">
        <v>45792</v>
      </c>
      <c r="D237" s="33">
        <v>0.4201388888888889</v>
      </c>
      <c r="E237" s="13" t="s">
        <v>1515</v>
      </c>
      <c r="F237" s="53" t="s">
        <v>1516</v>
      </c>
      <c r="G237" s="62" t="s">
        <v>1517</v>
      </c>
      <c r="H237" s="161" t="s">
        <v>719</v>
      </c>
      <c r="I237" s="43" t="s">
        <v>1518</v>
      </c>
      <c r="J237" s="54" t="s">
        <v>1519</v>
      </c>
      <c r="K237" s="13" t="s">
        <v>1028</v>
      </c>
    </row>
    <row r="238" spans="1:58" ht="22.5" customHeight="1" x14ac:dyDescent="0.25">
      <c r="A238" s="61">
        <v>45776</v>
      </c>
      <c r="B238" s="31">
        <v>235</v>
      </c>
      <c r="C238" s="32">
        <v>45792</v>
      </c>
      <c r="D238" s="33">
        <v>0.41666666666666669</v>
      </c>
      <c r="E238" s="13" t="s">
        <v>1520</v>
      </c>
      <c r="F238" s="53" t="s">
        <v>1521</v>
      </c>
      <c r="G238" s="62" t="s">
        <v>718</v>
      </c>
      <c r="H238" s="161" t="s">
        <v>719</v>
      </c>
      <c r="I238" s="43" t="s">
        <v>1522</v>
      </c>
      <c r="J238" s="54" t="s">
        <v>1523</v>
      </c>
      <c r="K238" s="13" t="s">
        <v>1524</v>
      </c>
    </row>
    <row r="239" spans="1:58" ht="22.5" customHeight="1" x14ac:dyDescent="0.25">
      <c r="A239" s="61">
        <v>45775</v>
      </c>
      <c r="B239" s="31">
        <v>236</v>
      </c>
      <c r="C239" s="32">
        <v>45799</v>
      </c>
      <c r="D239" s="33">
        <v>0.3888888888888889</v>
      </c>
      <c r="E239" s="13" t="s">
        <v>1525</v>
      </c>
      <c r="F239" s="53" t="s">
        <v>1526</v>
      </c>
      <c r="G239" s="62" t="s">
        <v>718</v>
      </c>
      <c r="H239" s="161" t="s">
        <v>719</v>
      </c>
      <c r="I239" s="43" t="s">
        <v>1527</v>
      </c>
      <c r="J239" s="54" t="s">
        <v>1528</v>
      </c>
      <c r="K239" s="13" t="s">
        <v>1028</v>
      </c>
    </row>
    <row r="240" spans="1:58" ht="22.5" customHeight="1" x14ac:dyDescent="0.25">
      <c r="A240" s="61">
        <v>45775</v>
      </c>
      <c r="B240" s="31">
        <v>237</v>
      </c>
      <c r="C240" s="32">
        <v>45799</v>
      </c>
      <c r="D240" s="33">
        <v>0.3923611111111111</v>
      </c>
      <c r="E240" s="13" t="s">
        <v>1525</v>
      </c>
      <c r="F240" s="53" t="s">
        <v>1526</v>
      </c>
      <c r="G240" s="62" t="s">
        <v>718</v>
      </c>
      <c r="H240" s="161" t="s">
        <v>719</v>
      </c>
      <c r="I240" s="43" t="s">
        <v>1529</v>
      </c>
      <c r="J240" s="54" t="s">
        <v>1530</v>
      </c>
      <c r="K240" s="13" t="s">
        <v>1531</v>
      </c>
    </row>
    <row r="241" spans="1:11" ht="22.5" customHeight="1" x14ac:dyDescent="0.25">
      <c r="A241" s="61">
        <v>45777</v>
      </c>
      <c r="B241" s="31">
        <v>238</v>
      </c>
      <c r="C241" s="32">
        <v>45799</v>
      </c>
      <c r="D241" s="33">
        <v>0.39583333333333298</v>
      </c>
      <c r="E241" s="13" t="s">
        <v>1532</v>
      </c>
      <c r="F241" s="53" t="s">
        <v>1533</v>
      </c>
      <c r="G241" s="62" t="s">
        <v>718</v>
      </c>
      <c r="H241" s="161" t="s">
        <v>719</v>
      </c>
      <c r="I241" s="43" t="s">
        <v>165</v>
      </c>
      <c r="J241" s="54" t="s">
        <v>1534</v>
      </c>
      <c r="K241" s="13" t="s">
        <v>1028</v>
      </c>
    </row>
    <row r="242" spans="1:11" ht="22.5" customHeight="1" x14ac:dyDescent="0.25">
      <c r="A242" s="61">
        <v>45779</v>
      </c>
      <c r="B242" s="31">
        <v>239</v>
      </c>
      <c r="C242" s="32">
        <v>45799</v>
      </c>
      <c r="D242" s="33">
        <v>0.39930555555555558</v>
      </c>
      <c r="E242" s="13" t="s">
        <v>1246</v>
      </c>
      <c r="F242" s="53">
        <v>44106192</v>
      </c>
      <c r="G242" s="62" t="s">
        <v>1248</v>
      </c>
      <c r="H242" s="161" t="s">
        <v>1158</v>
      </c>
      <c r="I242" s="43" t="s">
        <v>1535</v>
      </c>
      <c r="J242" s="54" t="s">
        <v>1536</v>
      </c>
      <c r="K242" s="13" t="s">
        <v>1537</v>
      </c>
    </row>
    <row r="243" spans="1:11" ht="22.5" customHeight="1" x14ac:dyDescent="0.25">
      <c r="A243" s="61">
        <v>45776</v>
      </c>
      <c r="B243" s="31">
        <v>240</v>
      </c>
      <c r="C243" s="32">
        <v>45799</v>
      </c>
      <c r="D243" s="33">
        <v>0.40277777777777779</v>
      </c>
      <c r="E243" s="13" t="s">
        <v>1538</v>
      </c>
      <c r="F243" s="53" t="s">
        <v>1539</v>
      </c>
      <c r="G243" s="62" t="s">
        <v>925</v>
      </c>
      <c r="H243" s="161" t="s">
        <v>926</v>
      </c>
      <c r="I243" s="43" t="s">
        <v>1540</v>
      </c>
      <c r="J243" s="54" t="s">
        <v>1541</v>
      </c>
      <c r="K243" s="13" t="s">
        <v>1542</v>
      </c>
    </row>
    <row r="244" spans="1:11" ht="22.5" customHeight="1" x14ac:dyDescent="0.25">
      <c r="A244" s="61">
        <v>45777</v>
      </c>
      <c r="B244" s="31">
        <v>241</v>
      </c>
      <c r="C244" s="32">
        <v>45799</v>
      </c>
      <c r="D244" s="33">
        <v>0.40625</v>
      </c>
      <c r="E244" s="13" t="s">
        <v>1543</v>
      </c>
      <c r="F244" s="53" t="s">
        <v>1544</v>
      </c>
      <c r="G244" s="62"/>
      <c r="I244" s="43" t="s">
        <v>1545</v>
      </c>
      <c r="J244" s="54" t="s">
        <v>1546</v>
      </c>
      <c r="K244" s="13" t="s">
        <v>90</v>
      </c>
    </row>
    <row r="245" spans="1:11" ht="22.5" customHeight="1" x14ac:dyDescent="0.25">
      <c r="A245" s="61">
        <v>45777</v>
      </c>
      <c r="B245" s="31">
        <v>242</v>
      </c>
      <c r="C245" s="32">
        <v>45799</v>
      </c>
      <c r="D245" s="33">
        <v>0.40972222222222221</v>
      </c>
      <c r="E245" s="13" t="s">
        <v>1547</v>
      </c>
      <c r="F245" s="53" t="s">
        <v>1548</v>
      </c>
      <c r="G245" s="62" t="s">
        <v>736</v>
      </c>
      <c r="H245" s="161" t="s">
        <v>737</v>
      </c>
      <c r="I245" s="43" t="s">
        <v>1357</v>
      </c>
      <c r="J245" s="54" t="s">
        <v>954</v>
      </c>
      <c r="K245" s="13" t="s">
        <v>42</v>
      </c>
    </row>
    <row r="246" spans="1:11" ht="22.5" customHeight="1" x14ac:dyDescent="0.25">
      <c r="A246" s="110">
        <v>45782</v>
      </c>
      <c r="B246" s="75" t="s">
        <v>1549</v>
      </c>
      <c r="C246" s="151">
        <v>45786</v>
      </c>
      <c r="D246" s="147">
        <v>0.375</v>
      </c>
      <c r="E246" s="13" t="s">
        <v>1550</v>
      </c>
      <c r="F246" s="53" t="s">
        <v>880</v>
      </c>
      <c r="G246" s="62" t="s">
        <v>879</v>
      </c>
      <c r="H246" s="161" t="s">
        <v>880</v>
      </c>
      <c r="I246" s="43" t="s">
        <v>560</v>
      </c>
      <c r="J246" s="54" t="s">
        <v>1204</v>
      </c>
      <c r="K246" s="13" t="s">
        <v>881</v>
      </c>
    </row>
    <row r="247" spans="1:11" ht="22.5" hidden="1" customHeight="1" x14ac:dyDescent="0.25">
      <c r="A247" s="61">
        <v>45785</v>
      </c>
      <c r="B247" s="31">
        <v>243</v>
      </c>
      <c r="C247" s="41">
        <v>45799</v>
      </c>
      <c r="D247" s="42">
        <v>0.41319444444444442</v>
      </c>
      <c r="E247" s="13" t="s">
        <v>1551</v>
      </c>
      <c r="F247" s="53" t="s">
        <v>1552</v>
      </c>
      <c r="G247" s="62" t="s">
        <v>1381</v>
      </c>
      <c r="H247" s="54" t="s">
        <v>1382</v>
      </c>
      <c r="I247" s="43" t="s">
        <v>1553</v>
      </c>
      <c r="J247" s="54" t="s">
        <v>1554</v>
      </c>
      <c r="K247" s="13" t="s">
        <v>1555</v>
      </c>
    </row>
    <row r="248" spans="1:11" ht="22.5" customHeight="1" x14ac:dyDescent="0.25">
      <c r="A248" s="61">
        <v>45785</v>
      </c>
      <c r="B248" s="31">
        <v>244</v>
      </c>
      <c r="C248" s="32">
        <v>45799</v>
      </c>
      <c r="D248" s="33">
        <v>0.41666666666666669</v>
      </c>
      <c r="E248" s="13" t="s">
        <v>1466</v>
      </c>
      <c r="F248" s="53" t="s">
        <v>1467</v>
      </c>
      <c r="G248" s="62" t="s">
        <v>1381</v>
      </c>
      <c r="H248" s="161" t="s">
        <v>1382</v>
      </c>
      <c r="I248" s="43" t="s">
        <v>295</v>
      </c>
      <c r="J248" s="54" t="s">
        <v>1340</v>
      </c>
      <c r="K248" s="13" t="s">
        <v>1468</v>
      </c>
    </row>
    <row r="249" spans="1:11" ht="22.5" customHeight="1" x14ac:dyDescent="0.25">
      <c r="A249" s="61">
        <v>45789</v>
      </c>
      <c r="B249" s="31">
        <v>245</v>
      </c>
      <c r="C249" s="32">
        <v>45806</v>
      </c>
      <c r="D249" s="33">
        <v>0.4375</v>
      </c>
      <c r="E249" s="13" t="s">
        <v>1556</v>
      </c>
      <c r="F249" s="53" t="s">
        <v>1557</v>
      </c>
      <c r="G249" s="62"/>
      <c r="I249" s="43" t="s">
        <v>1417</v>
      </c>
      <c r="J249" s="54" t="s">
        <v>1418</v>
      </c>
      <c r="K249" s="13" t="s">
        <v>71</v>
      </c>
    </row>
    <row r="250" spans="1:11" ht="52.5" customHeight="1" x14ac:dyDescent="0.25">
      <c r="A250" s="61">
        <v>45791</v>
      </c>
      <c r="B250" s="31">
        <v>246</v>
      </c>
      <c r="C250" s="32">
        <v>45806</v>
      </c>
      <c r="D250" s="33">
        <v>0.44097222222222221</v>
      </c>
      <c r="E250" s="13" t="s">
        <v>1558</v>
      </c>
      <c r="F250" s="53" t="s">
        <v>1559</v>
      </c>
      <c r="G250" s="62"/>
      <c r="I250" s="43" t="s">
        <v>1560</v>
      </c>
      <c r="J250" s="54" t="s">
        <v>1027</v>
      </c>
      <c r="K250" s="13" t="s">
        <v>71</v>
      </c>
    </row>
    <row r="251" spans="1:11" ht="22.5" customHeight="1" x14ac:dyDescent="0.25">
      <c r="A251" s="61">
        <v>45789</v>
      </c>
      <c r="B251" s="31">
        <v>247</v>
      </c>
      <c r="C251" s="32">
        <v>45806</v>
      </c>
      <c r="D251" s="33">
        <v>0.44444444444444442</v>
      </c>
      <c r="E251" s="13" t="s">
        <v>1561</v>
      </c>
      <c r="F251" s="53" t="s">
        <v>1562</v>
      </c>
      <c r="G251" s="62" t="s">
        <v>1563</v>
      </c>
      <c r="H251" s="161" t="s">
        <v>1564</v>
      </c>
      <c r="I251" s="43" t="s">
        <v>102</v>
      </c>
      <c r="J251" s="54" t="s">
        <v>1070</v>
      </c>
      <c r="K251" s="13" t="s">
        <v>63</v>
      </c>
    </row>
    <row r="252" spans="1:11" ht="22.5" customHeight="1" x14ac:dyDescent="0.25">
      <c r="A252" s="61">
        <v>45792</v>
      </c>
      <c r="B252" s="31">
        <v>248</v>
      </c>
      <c r="C252" s="32">
        <v>45806</v>
      </c>
      <c r="D252" s="33">
        <v>0.44791666666666669</v>
      </c>
      <c r="E252" s="13" t="s">
        <v>1565</v>
      </c>
      <c r="F252" s="53" t="s">
        <v>1566</v>
      </c>
      <c r="G252" s="62" t="s">
        <v>718</v>
      </c>
      <c r="H252" s="161" t="s">
        <v>719</v>
      </c>
      <c r="I252" s="43" t="s">
        <v>1567</v>
      </c>
      <c r="J252" s="54" t="s">
        <v>1568</v>
      </c>
      <c r="K252" s="13" t="s">
        <v>1569</v>
      </c>
    </row>
    <row r="253" spans="1:11" ht="22.5" customHeight="1" x14ac:dyDescent="0.25">
      <c r="A253" s="61">
        <v>45793</v>
      </c>
      <c r="B253" s="31">
        <v>249</v>
      </c>
      <c r="C253" s="32">
        <v>45806</v>
      </c>
      <c r="D253" s="33">
        <v>0.4513888888888889</v>
      </c>
      <c r="E253" s="13" t="s">
        <v>1570</v>
      </c>
      <c r="F253" s="53" t="s">
        <v>1571</v>
      </c>
      <c r="G253" s="62"/>
      <c r="I253" s="43" t="s">
        <v>1572</v>
      </c>
      <c r="J253" s="54" t="s">
        <v>1573</v>
      </c>
      <c r="K253" s="13" t="s">
        <v>158</v>
      </c>
    </row>
    <row r="254" spans="1:11" ht="22.5" customHeight="1" x14ac:dyDescent="0.25">
      <c r="A254" s="61">
        <v>45793</v>
      </c>
      <c r="B254" s="31">
        <v>250</v>
      </c>
      <c r="C254" s="32">
        <v>45806</v>
      </c>
      <c r="D254" s="33">
        <v>0.4548611111111111</v>
      </c>
      <c r="E254" s="13" t="s">
        <v>1574</v>
      </c>
      <c r="F254" s="53" t="s">
        <v>1575</v>
      </c>
      <c r="G254" s="62"/>
      <c r="I254" s="43" t="s">
        <v>1572</v>
      </c>
      <c r="J254" s="54" t="s">
        <v>1573</v>
      </c>
      <c r="K254" s="13" t="s">
        <v>1497</v>
      </c>
    </row>
    <row r="255" spans="1:11" ht="22.5" customHeight="1" x14ac:dyDescent="0.25">
      <c r="A255" s="61">
        <v>45793</v>
      </c>
      <c r="B255" s="31">
        <v>251</v>
      </c>
      <c r="C255" s="32">
        <v>45806</v>
      </c>
      <c r="D255" s="33">
        <v>0.45833333333333331</v>
      </c>
      <c r="E255" s="13" t="s">
        <v>1574</v>
      </c>
      <c r="F255" s="53" t="s">
        <v>1575</v>
      </c>
      <c r="G255" s="62"/>
      <c r="I255" s="43" t="s">
        <v>1572</v>
      </c>
      <c r="J255" s="54" t="s">
        <v>1573</v>
      </c>
      <c r="K255" s="13" t="s">
        <v>158</v>
      </c>
    </row>
    <row r="256" spans="1:11" ht="22.5" customHeight="1" x14ac:dyDescent="0.25">
      <c r="A256" s="61">
        <v>45793</v>
      </c>
      <c r="B256" s="31">
        <v>252</v>
      </c>
      <c r="C256" s="32">
        <v>45806</v>
      </c>
      <c r="D256" s="33">
        <v>0.46180555555555558</v>
      </c>
      <c r="E256" s="13" t="s">
        <v>1576</v>
      </c>
      <c r="F256" s="53" t="s">
        <v>1577</v>
      </c>
      <c r="G256" s="62" t="s">
        <v>879</v>
      </c>
      <c r="H256" s="161" t="s">
        <v>880</v>
      </c>
      <c r="I256" s="43" t="s">
        <v>560</v>
      </c>
      <c r="J256" s="54" t="s">
        <v>1204</v>
      </c>
      <c r="K256" s="13" t="s">
        <v>881</v>
      </c>
    </row>
    <row r="257" spans="1:11" ht="22.5" customHeight="1" x14ac:dyDescent="0.25">
      <c r="A257" s="61">
        <v>45793</v>
      </c>
      <c r="B257" s="31">
        <v>253</v>
      </c>
      <c r="C257" s="32">
        <v>45806</v>
      </c>
      <c r="D257" s="33">
        <v>0.46527777777777779</v>
      </c>
      <c r="E257" s="13" t="s">
        <v>1570</v>
      </c>
      <c r="F257" s="53" t="s">
        <v>1571</v>
      </c>
      <c r="G257" s="62"/>
      <c r="I257" s="43" t="s">
        <v>1572</v>
      </c>
      <c r="J257" s="54" t="s">
        <v>1573</v>
      </c>
      <c r="K257" s="13" t="s">
        <v>1497</v>
      </c>
    </row>
    <row r="258" spans="1:11" ht="22.5" customHeight="1" x14ac:dyDescent="0.25">
      <c r="A258" s="61">
        <v>45797</v>
      </c>
      <c r="B258" s="31">
        <v>254</v>
      </c>
      <c r="C258" s="32">
        <v>45813</v>
      </c>
      <c r="D258" s="33">
        <v>0.375</v>
      </c>
      <c r="E258" s="13" t="s">
        <v>1578</v>
      </c>
      <c r="F258" s="53" t="s">
        <v>1579</v>
      </c>
      <c r="G258" s="62" t="s">
        <v>1580</v>
      </c>
      <c r="H258" s="161" t="s">
        <v>1581</v>
      </c>
      <c r="I258" s="43" t="s">
        <v>1612</v>
      </c>
      <c r="J258" s="54" t="s">
        <v>1613</v>
      </c>
      <c r="K258" s="13" t="s">
        <v>1582</v>
      </c>
    </row>
    <row r="259" spans="1:11" ht="22.5" customHeight="1" x14ac:dyDescent="0.25">
      <c r="A259" s="61">
        <v>45797</v>
      </c>
      <c r="B259" s="31">
        <v>255</v>
      </c>
      <c r="C259" s="32">
        <v>45813</v>
      </c>
      <c r="D259" s="33">
        <v>0.37847222222222221</v>
      </c>
      <c r="E259" s="13" t="s">
        <v>1583</v>
      </c>
      <c r="F259" s="53" t="s">
        <v>1584</v>
      </c>
      <c r="G259" s="62"/>
      <c r="I259" s="43" t="s">
        <v>1585</v>
      </c>
      <c r="J259" s="54" t="s">
        <v>1586</v>
      </c>
      <c r="K259" s="13" t="s">
        <v>1497</v>
      </c>
    </row>
    <row r="260" spans="1:11" ht="22.5" customHeight="1" x14ac:dyDescent="0.25">
      <c r="A260" s="61">
        <v>45797</v>
      </c>
      <c r="B260" s="31">
        <v>256</v>
      </c>
      <c r="C260" s="32">
        <v>45813</v>
      </c>
      <c r="D260" s="33">
        <v>0.38194444444444442</v>
      </c>
      <c r="E260" s="13" t="s">
        <v>1587</v>
      </c>
      <c r="F260" s="53" t="s">
        <v>1588</v>
      </c>
      <c r="G260" s="62" t="s">
        <v>736</v>
      </c>
      <c r="H260" s="161" t="s">
        <v>737</v>
      </c>
      <c r="I260" s="43" t="s">
        <v>1589</v>
      </c>
      <c r="J260" s="54" t="s">
        <v>1590</v>
      </c>
      <c r="K260" s="13" t="s">
        <v>42</v>
      </c>
    </row>
    <row r="261" spans="1:11" ht="22.5" customHeight="1" x14ac:dyDescent="0.25">
      <c r="A261" s="61">
        <v>45798</v>
      </c>
      <c r="B261" s="31">
        <v>257</v>
      </c>
      <c r="C261" s="32">
        <v>45813</v>
      </c>
      <c r="D261" s="33">
        <v>0.38541666666666669</v>
      </c>
      <c r="E261" s="13" t="s">
        <v>1592</v>
      </c>
      <c r="F261" s="53" t="s">
        <v>1591</v>
      </c>
      <c r="G261" s="62"/>
      <c r="I261" s="43" t="s">
        <v>1572</v>
      </c>
      <c r="J261" s="54" t="s">
        <v>1573</v>
      </c>
      <c r="K261" s="13" t="s">
        <v>158</v>
      </c>
    </row>
    <row r="262" spans="1:11" ht="22.5" customHeight="1" x14ac:dyDescent="0.25">
      <c r="A262" s="61">
        <v>45798</v>
      </c>
      <c r="B262" s="31">
        <v>258</v>
      </c>
      <c r="C262" s="32">
        <v>45813</v>
      </c>
      <c r="D262" s="33">
        <v>0.3888888888888889</v>
      </c>
      <c r="E262" s="13" t="s">
        <v>1592</v>
      </c>
      <c r="F262" s="53" t="s">
        <v>1591</v>
      </c>
      <c r="G262" s="62"/>
      <c r="I262" s="43" t="s">
        <v>1572</v>
      </c>
      <c r="J262" s="54" t="s">
        <v>1573</v>
      </c>
      <c r="K262" s="13" t="s">
        <v>1497</v>
      </c>
    </row>
    <row r="263" spans="1:11" ht="25" x14ac:dyDescent="0.25">
      <c r="A263" s="61">
        <v>45798</v>
      </c>
      <c r="B263" s="31">
        <v>259</v>
      </c>
      <c r="C263" s="32">
        <v>45820</v>
      </c>
      <c r="D263" s="33">
        <v>0.41666666666666669</v>
      </c>
      <c r="E263" s="13" t="s">
        <v>1593</v>
      </c>
      <c r="F263" s="53" t="s">
        <v>1594</v>
      </c>
      <c r="G263" s="62" t="s">
        <v>957</v>
      </c>
      <c r="H263" s="161" t="s">
        <v>900</v>
      </c>
      <c r="I263" s="43" t="s">
        <v>1595</v>
      </c>
      <c r="J263" s="54" t="s">
        <v>1596</v>
      </c>
      <c r="K263" s="13" t="s">
        <v>148</v>
      </c>
    </row>
    <row r="264" spans="1:11" x14ac:dyDescent="0.25">
      <c r="A264" s="61">
        <v>45798</v>
      </c>
      <c r="B264" s="31">
        <v>260</v>
      </c>
      <c r="C264" s="32">
        <v>45813</v>
      </c>
      <c r="D264" s="33">
        <v>0.3923611111111111</v>
      </c>
      <c r="E264" s="13" t="s">
        <v>1597</v>
      </c>
      <c r="F264" s="53" t="s">
        <v>1598</v>
      </c>
      <c r="G264" s="62" t="s">
        <v>718</v>
      </c>
      <c r="H264" s="161" t="s">
        <v>719</v>
      </c>
      <c r="I264" s="43" t="s">
        <v>1599</v>
      </c>
      <c r="J264" s="54" t="s">
        <v>1600</v>
      </c>
      <c r="K264" s="13" t="s">
        <v>1569</v>
      </c>
    </row>
    <row r="265" spans="1:11" ht="22.5" customHeight="1" x14ac:dyDescent="0.25">
      <c r="A265" s="61">
        <v>45799</v>
      </c>
      <c r="B265" s="31">
        <v>261</v>
      </c>
      <c r="C265" s="32">
        <v>45813</v>
      </c>
      <c r="D265" s="33">
        <v>0.39583333333333331</v>
      </c>
      <c r="E265" s="13" t="s">
        <v>1601</v>
      </c>
      <c r="F265" s="53" t="s">
        <v>1602</v>
      </c>
      <c r="G265" s="62" t="s">
        <v>736</v>
      </c>
      <c r="H265" s="161" t="s">
        <v>737</v>
      </c>
      <c r="I265" s="43" t="s">
        <v>1603</v>
      </c>
      <c r="J265" s="54" t="s">
        <v>1606</v>
      </c>
      <c r="K265" s="13" t="s">
        <v>42</v>
      </c>
    </row>
    <row r="266" spans="1:11" ht="22.5" customHeight="1" x14ac:dyDescent="0.25">
      <c r="A266" s="61">
        <v>45799</v>
      </c>
      <c r="B266" s="31">
        <v>262</v>
      </c>
      <c r="C266" s="32">
        <v>45813</v>
      </c>
      <c r="D266" s="33">
        <v>0.39930555555555558</v>
      </c>
      <c r="E266" s="13" t="s">
        <v>1604</v>
      </c>
      <c r="F266" s="53" t="s">
        <v>1605</v>
      </c>
      <c r="G266" s="62" t="s">
        <v>736</v>
      </c>
      <c r="H266" s="161" t="s">
        <v>737</v>
      </c>
      <c r="I266" s="43" t="s">
        <v>1603</v>
      </c>
      <c r="J266" s="54" t="s">
        <v>1606</v>
      </c>
      <c r="K266" s="13" t="s">
        <v>42</v>
      </c>
    </row>
    <row r="267" spans="1:11" ht="22.5" customHeight="1" x14ac:dyDescent="0.25">
      <c r="A267" s="61">
        <v>45800</v>
      </c>
      <c r="B267" s="31">
        <v>263</v>
      </c>
      <c r="C267" s="32">
        <v>45813</v>
      </c>
      <c r="D267" s="33">
        <v>0.40277777777777779</v>
      </c>
      <c r="E267" s="13" t="s">
        <v>1610</v>
      </c>
      <c r="F267" s="53" t="s">
        <v>1607</v>
      </c>
      <c r="G267" s="62"/>
      <c r="I267" s="43" t="s">
        <v>1608</v>
      </c>
      <c r="J267" s="54" t="s">
        <v>1609</v>
      </c>
      <c r="K267" s="13" t="s">
        <v>1028</v>
      </c>
    </row>
    <row r="268" spans="1:11" ht="22.5" customHeight="1" x14ac:dyDescent="0.25">
      <c r="A268" s="61">
        <v>45801</v>
      </c>
      <c r="B268" s="31">
        <v>264</v>
      </c>
      <c r="C268" s="32">
        <v>45820</v>
      </c>
      <c r="D268" s="33">
        <v>0.4201388888888889</v>
      </c>
      <c r="E268" s="13" t="s">
        <v>1466</v>
      </c>
      <c r="F268" s="53" t="s">
        <v>1467</v>
      </c>
      <c r="G268" s="62" t="s">
        <v>1381</v>
      </c>
      <c r="H268" s="161" t="s">
        <v>1382</v>
      </c>
      <c r="I268" s="43" t="s">
        <v>1611</v>
      </c>
      <c r="J268" s="54" t="s">
        <v>1340</v>
      </c>
      <c r="K268" s="13" t="s">
        <v>919</v>
      </c>
    </row>
    <row r="269" spans="1:11" ht="22.5" customHeight="1" x14ac:dyDescent="0.25">
      <c r="A269" s="61">
        <v>45804</v>
      </c>
      <c r="B269" s="31">
        <v>265</v>
      </c>
      <c r="C269" s="32">
        <v>45820</v>
      </c>
      <c r="D269" s="33">
        <v>0.4236111111111111</v>
      </c>
      <c r="E269" s="13" t="s">
        <v>1614</v>
      </c>
      <c r="F269" s="53" t="s">
        <v>1615</v>
      </c>
      <c r="G269" s="62" t="s">
        <v>966</v>
      </c>
      <c r="H269" s="161" t="s">
        <v>777</v>
      </c>
      <c r="I269" s="43" t="s">
        <v>102</v>
      </c>
      <c r="J269" s="54" t="s">
        <v>1070</v>
      </c>
      <c r="K269" s="13" t="s">
        <v>919</v>
      </c>
    </row>
    <row r="270" spans="1:11" ht="22.5" customHeight="1" x14ac:dyDescent="0.25">
      <c r="A270" s="61">
        <v>45804</v>
      </c>
      <c r="B270" s="31">
        <v>266</v>
      </c>
      <c r="C270" s="32">
        <v>45820</v>
      </c>
      <c r="D270" s="33">
        <v>0.42708333333333331</v>
      </c>
      <c r="E270" s="13" t="s">
        <v>1616</v>
      </c>
      <c r="F270" s="53" t="s">
        <v>1617</v>
      </c>
      <c r="G270" s="62" t="s">
        <v>966</v>
      </c>
      <c r="H270" s="161" t="s">
        <v>777</v>
      </c>
      <c r="I270" s="43" t="s">
        <v>560</v>
      </c>
      <c r="J270" s="54" t="s">
        <v>1204</v>
      </c>
      <c r="K270" s="13" t="s">
        <v>1251</v>
      </c>
    </row>
    <row r="271" spans="1:11" ht="22.5" customHeight="1" x14ac:dyDescent="0.25">
      <c r="A271" s="61">
        <v>45805</v>
      </c>
      <c r="B271" s="31">
        <v>267</v>
      </c>
      <c r="C271" s="32">
        <v>45820</v>
      </c>
      <c r="D271" s="33">
        <v>0.43055555555555558</v>
      </c>
      <c r="E271" s="13" t="s">
        <v>1618</v>
      </c>
      <c r="F271" s="53" t="s">
        <v>1619</v>
      </c>
      <c r="G271" s="62"/>
      <c r="I271" s="43" t="s">
        <v>1620</v>
      </c>
      <c r="J271" s="54" t="s">
        <v>928</v>
      </c>
      <c r="K271" s="13" t="s">
        <v>919</v>
      </c>
    </row>
    <row r="272" spans="1:11" ht="22.5" hidden="1" customHeight="1" x14ac:dyDescent="0.25">
      <c r="A272" s="61">
        <v>45805</v>
      </c>
      <c r="B272" s="31">
        <v>268</v>
      </c>
      <c r="C272" s="41">
        <v>45820</v>
      </c>
      <c r="D272" s="42">
        <v>0.41319444444444442</v>
      </c>
      <c r="E272" s="13" t="s">
        <v>1621</v>
      </c>
      <c r="F272" s="53" t="s">
        <v>1622</v>
      </c>
      <c r="G272" s="62" t="s">
        <v>879</v>
      </c>
      <c r="H272" s="54" t="s">
        <v>880</v>
      </c>
      <c r="I272" s="43" t="s">
        <v>921</v>
      </c>
      <c r="J272" s="54" t="s">
        <v>922</v>
      </c>
      <c r="K272" s="13" t="s">
        <v>881</v>
      </c>
    </row>
    <row r="273" spans="1:58" ht="22.5" customHeight="1" x14ac:dyDescent="0.25">
      <c r="A273" s="61">
        <v>45805</v>
      </c>
      <c r="B273" s="31">
        <v>269</v>
      </c>
      <c r="C273" s="32">
        <v>45820</v>
      </c>
      <c r="D273" s="33">
        <v>0.40972222222222221</v>
      </c>
      <c r="E273" s="13" t="s">
        <v>1623</v>
      </c>
      <c r="F273" s="53" t="s">
        <v>1624</v>
      </c>
      <c r="G273" s="62"/>
      <c r="I273" s="43" t="s">
        <v>1620</v>
      </c>
      <c r="J273" s="54" t="s">
        <v>928</v>
      </c>
      <c r="K273" s="13" t="s">
        <v>919</v>
      </c>
    </row>
    <row r="274" spans="1:58" ht="22.5" customHeight="1" x14ac:dyDescent="0.25">
      <c r="A274" s="61">
        <v>45805</v>
      </c>
      <c r="B274" s="31">
        <v>270</v>
      </c>
      <c r="C274" s="32">
        <v>45820</v>
      </c>
      <c r="D274" s="33">
        <v>0.40625</v>
      </c>
      <c r="E274" s="13" t="s">
        <v>1625</v>
      </c>
      <c r="F274" s="53" t="s">
        <v>1626</v>
      </c>
      <c r="G274" s="62"/>
      <c r="I274" s="43" t="s">
        <v>1620</v>
      </c>
      <c r="J274" s="54" t="s">
        <v>928</v>
      </c>
      <c r="K274" s="13" t="s">
        <v>919</v>
      </c>
    </row>
    <row r="275" spans="1:58" ht="22.5" customHeight="1" x14ac:dyDescent="0.25">
      <c r="A275" s="61">
        <v>45805</v>
      </c>
      <c r="B275" s="31">
        <v>271</v>
      </c>
      <c r="C275" s="32">
        <v>45820</v>
      </c>
      <c r="D275" s="33">
        <v>0.40277777777777779</v>
      </c>
      <c r="E275" s="13" t="s">
        <v>1627</v>
      </c>
      <c r="F275" s="53" t="s">
        <v>1628</v>
      </c>
      <c r="G275" s="62"/>
      <c r="I275" s="43" t="s">
        <v>1620</v>
      </c>
      <c r="J275" s="54" t="s">
        <v>928</v>
      </c>
      <c r="K275" s="13" t="s">
        <v>919</v>
      </c>
    </row>
    <row r="276" spans="1:58" ht="22.5" customHeight="1" x14ac:dyDescent="0.25">
      <c r="A276" s="61">
        <v>45805</v>
      </c>
      <c r="B276" s="31">
        <v>272</v>
      </c>
      <c r="C276" s="32">
        <v>45820</v>
      </c>
      <c r="D276" s="33">
        <v>0.39930555555555558</v>
      </c>
      <c r="E276" s="13" t="s">
        <v>1024</v>
      </c>
      <c r="F276" s="53" t="s">
        <v>1025</v>
      </c>
      <c r="G276" s="62" t="s">
        <v>966</v>
      </c>
      <c r="H276" s="161" t="s">
        <v>777</v>
      </c>
      <c r="I276" s="43" t="s">
        <v>1300</v>
      </c>
      <c r="J276" s="54" t="s">
        <v>770</v>
      </c>
      <c r="K276" s="13" t="s">
        <v>1629</v>
      </c>
    </row>
    <row r="277" spans="1:58" ht="22.5" customHeight="1" x14ac:dyDescent="0.25">
      <c r="A277" s="61">
        <v>45805</v>
      </c>
      <c r="B277" s="31">
        <v>273</v>
      </c>
      <c r="C277" s="32">
        <v>45820</v>
      </c>
      <c r="D277" s="33">
        <v>0.39583333333333331</v>
      </c>
      <c r="E277" s="13" t="s">
        <v>1630</v>
      </c>
      <c r="F277" s="53" t="s">
        <v>1631</v>
      </c>
      <c r="G277" s="62" t="s">
        <v>718</v>
      </c>
      <c r="H277" s="161" t="s">
        <v>719</v>
      </c>
      <c r="I277" s="43" t="s">
        <v>102</v>
      </c>
      <c r="K277" s="13" t="s">
        <v>1632</v>
      </c>
    </row>
    <row r="278" spans="1:58" ht="22.5" customHeight="1" x14ac:dyDescent="0.25">
      <c r="A278" s="61">
        <v>45806</v>
      </c>
      <c r="B278" s="31">
        <v>274</v>
      </c>
      <c r="C278" s="32">
        <v>45820</v>
      </c>
      <c r="D278" s="33">
        <v>0.3923611111111111</v>
      </c>
      <c r="E278" s="13" t="s">
        <v>1633</v>
      </c>
      <c r="F278" s="53" t="s">
        <v>1634</v>
      </c>
      <c r="G278" s="62"/>
      <c r="I278" s="43" t="s">
        <v>1620</v>
      </c>
      <c r="J278" s="54" t="s">
        <v>928</v>
      </c>
      <c r="K278" s="13" t="s">
        <v>919</v>
      </c>
    </row>
    <row r="279" spans="1:58" ht="25.5" customHeight="1" x14ac:dyDescent="0.25">
      <c r="A279" s="61">
        <v>45806</v>
      </c>
      <c r="B279" s="31">
        <v>275</v>
      </c>
      <c r="C279" s="32">
        <v>45820</v>
      </c>
      <c r="D279" s="33">
        <v>0.3888888888888889</v>
      </c>
      <c r="E279" s="13" t="s">
        <v>1635</v>
      </c>
      <c r="F279" s="53" t="s">
        <v>1636</v>
      </c>
      <c r="G279" s="62"/>
      <c r="I279" s="43" t="s">
        <v>1620</v>
      </c>
      <c r="J279" s="54" t="s">
        <v>928</v>
      </c>
      <c r="K279" s="13" t="s">
        <v>919</v>
      </c>
    </row>
    <row r="280" spans="1:58" ht="22.5" customHeight="1" x14ac:dyDescent="0.25">
      <c r="A280" s="61">
        <v>45806</v>
      </c>
      <c r="B280" s="31">
        <v>276</v>
      </c>
      <c r="C280" s="32">
        <v>45820</v>
      </c>
      <c r="D280" s="33">
        <v>0.38541666666666669</v>
      </c>
      <c r="E280" s="13" t="s">
        <v>1637</v>
      </c>
      <c r="F280" s="53" t="s">
        <v>1638</v>
      </c>
      <c r="G280" s="62"/>
      <c r="I280" s="43" t="s">
        <v>1620</v>
      </c>
      <c r="J280" s="54" t="s">
        <v>928</v>
      </c>
      <c r="K280" s="13" t="s">
        <v>919</v>
      </c>
    </row>
    <row r="281" spans="1:58" ht="33.75" customHeight="1" x14ac:dyDescent="0.25">
      <c r="A281" s="61">
        <v>45806</v>
      </c>
      <c r="B281" s="31">
        <v>277</v>
      </c>
      <c r="C281" s="32">
        <v>45820</v>
      </c>
      <c r="D281" s="33">
        <v>0.38194444444444442</v>
      </c>
      <c r="E281" s="13" t="s">
        <v>1639</v>
      </c>
      <c r="F281" s="53" t="s">
        <v>1640</v>
      </c>
      <c r="G281" s="62"/>
      <c r="I281" s="43" t="s">
        <v>1620</v>
      </c>
      <c r="J281" s="54" t="s">
        <v>928</v>
      </c>
      <c r="K281" s="13" t="s">
        <v>919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</row>
    <row r="282" spans="1:58" ht="22.5" customHeight="1" x14ac:dyDescent="0.25">
      <c r="A282" s="61">
        <v>45806</v>
      </c>
      <c r="B282" s="31">
        <v>278</v>
      </c>
      <c r="C282" s="32">
        <v>45827</v>
      </c>
      <c r="D282" s="33">
        <v>0.39583333333333331</v>
      </c>
      <c r="E282" s="13" t="s">
        <v>1641</v>
      </c>
      <c r="F282" s="53" t="s">
        <v>1642</v>
      </c>
      <c r="G282" s="62" t="s">
        <v>736</v>
      </c>
      <c r="H282" s="161" t="s">
        <v>737</v>
      </c>
      <c r="I282" s="43" t="s">
        <v>1643</v>
      </c>
      <c r="J282" s="54" t="s">
        <v>1644</v>
      </c>
      <c r="K282" s="13" t="s">
        <v>760</v>
      </c>
    </row>
    <row r="283" spans="1:58" ht="22.5" customHeight="1" x14ac:dyDescent="0.25">
      <c r="A283" s="65">
        <v>45806</v>
      </c>
      <c r="B283" s="31">
        <v>279</v>
      </c>
      <c r="C283" s="32">
        <v>45827</v>
      </c>
      <c r="D283" s="33">
        <v>0.39930555555555558</v>
      </c>
      <c r="E283" s="13" t="s">
        <v>1645</v>
      </c>
      <c r="F283" s="53" t="s">
        <v>1646</v>
      </c>
      <c r="G283" s="62" t="s">
        <v>736</v>
      </c>
      <c r="H283" s="161" t="s">
        <v>737</v>
      </c>
      <c r="I283" s="43" t="s">
        <v>1643</v>
      </c>
      <c r="J283" s="54" t="s">
        <v>1644</v>
      </c>
      <c r="K283" s="13" t="s">
        <v>760</v>
      </c>
      <c r="L283" s="29"/>
    </row>
    <row r="284" spans="1:58" ht="22.5" customHeight="1" x14ac:dyDescent="0.25">
      <c r="A284" s="61">
        <v>45806</v>
      </c>
      <c r="B284" s="31">
        <v>280</v>
      </c>
      <c r="C284" s="32">
        <v>45827</v>
      </c>
      <c r="D284" s="33">
        <v>0.40277777777777779</v>
      </c>
      <c r="E284" s="13" t="s">
        <v>1647</v>
      </c>
      <c r="F284" s="53" t="s">
        <v>1648</v>
      </c>
      <c r="G284" s="62" t="s">
        <v>736</v>
      </c>
      <c r="H284" s="161" t="s">
        <v>737</v>
      </c>
      <c r="I284" s="43" t="s">
        <v>1643</v>
      </c>
      <c r="J284" s="54" t="s">
        <v>1644</v>
      </c>
      <c r="K284" s="13" t="s">
        <v>760</v>
      </c>
    </row>
    <row r="285" spans="1:58" ht="22.5" customHeight="1" x14ac:dyDescent="0.25">
      <c r="A285" s="61">
        <v>45806</v>
      </c>
      <c r="B285" s="31">
        <v>281</v>
      </c>
      <c r="C285" s="32">
        <v>45827</v>
      </c>
      <c r="D285" s="33">
        <v>0.40625</v>
      </c>
      <c r="E285" s="13" t="s">
        <v>1649</v>
      </c>
      <c r="F285" s="53" t="s">
        <v>1650</v>
      </c>
      <c r="G285" s="62" t="s">
        <v>736</v>
      </c>
      <c r="H285" s="161" t="s">
        <v>737</v>
      </c>
      <c r="I285" s="43" t="s">
        <v>1643</v>
      </c>
      <c r="J285" s="54" t="s">
        <v>1644</v>
      </c>
      <c r="K285" s="13" t="s">
        <v>760</v>
      </c>
    </row>
    <row r="286" spans="1:58" ht="22.5" customHeight="1" x14ac:dyDescent="0.25">
      <c r="A286" s="61">
        <v>45806</v>
      </c>
      <c r="B286" s="31">
        <v>282</v>
      </c>
      <c r="C286" s="32">
        <v>45827</v>
      </c>
      <c r="D286" s="33">
        <v>0.40972222222222221</v>
      </c>
      <c r="E286" s="13" t="s">
        <v>1651</v>
      </c>
      <c r="F286" s="53" t="s">
        <v>1652</v>
      </c>
      <c r="G286" s="62" t="s">
        <v>736</v>
      </c>
      <c r="H286" s="161" t="s">
        <v>737</v>
      </c>
      <c r="I286" s="43" t="s">
        <v>1643</v>
      </c>
      <c r="J286" s="54" t="s">
        <v>1644</v>
      </c>
      <c r="K286" s="13" t="s">
        <v>760</v>
      </c>
    </row>
    <row r="287" spans="1:58" ht="22.5" hidden="1" customHeight="1" x14ac:dyDescent="0.25">
      <c r="A287" s="61">
        <v>45806</v>
      </c>
      <c r="B287" s="31">
        <v>283</v>
      </c>
      <c r="C287" s="41">
        <v>45827</v>
      </c>
      <c r="D287" s="42">
        <v>0.41319444444444442</v>
      </c>
      <c r="E287" s="13" t="s">
        <v>1653</v>
      </c>
      <c r="F287" s="53" t="s">
        <v>1654</v>
      </c>
      <c r="G287" s="62" t="s">
        <v>736</v>
      </c>
      <c r="H287" s="54" t="s">
        <v>737</v>
      </c>
      <c r="I287" s="43" t="s">
        <v>1643</v>
      </c>
      <c r="J287" s="54" t="s">
        <v>1644</v>
      </c>
      <c r="K287" s="13" t="s">
        <v>760</v>
      </c>
    </row>
    <row r="288" spans="1:58" ht="22.5" customHeight="1" x14ac:dyDescent="0.25">
      <c r="A288" s="61">
        <v>45806</v>
      </c>
      <c r="B288" s="31">
        <v>284</v>
      </c>
      <c r="C288" s="32">
        <v>45827</v>
      </c>
      <c r="D288" s="33">
        <v>0.41666666666666669</v>
      </c>
      <c r="E288" s="13" t="s">
        <v>1655</v>
      </c>
      <c r="F288" s="53" t="s">
        <v>1656</v>
      </c>
      <c r="G288" s="62" t="s">
        <v>736</v>
      </c>
      <c r="H288" s="161" t="s">
        <v>737</v>
      </c>
      <c r="I288" s="43" t="s">
        <v>1643</v>
      </c>
      <c r="J288" s="54" t="s">
        <v>1644</v>
      </c>
      <c r="K288" s="13" t="s">
        <v>760</v>
      </c>
    </row>
    <row r="289" spans="1:58" ht="50" x14ac:dyDescent="0.25">
      <c r="A289" s="61">
        <v>45806</v>
      </c>
      <c r="B289" s="31">
        <v>285</v>
      </c>
      <c r="C289" s="32">
        <v>45827</v>
      </c>
      <c r="D289" s="33">
        <v>0.4201388888888889</v>
      </c>
      <c r="E289" s="13" t="s">
        <v>1657</v>
      </c>
      <c r="F289" s="53" t="s">
        <v>1658</v>
      </c>
      <c r="G289" s="62" t="s">
        <v>736</v>
      </c>
      <c r="H289" s="161" t="s">
        <v>737</v>
      </c>
      <c r="I289" s="43" t="s">
        <v>1643</v>
      </c>
      <c r="J289" s="54" t="s">
        <v>1644</v>
      </c>
      <c r="K289" s="13" t="s">
        <v>760</v>
      </c>
    </row>
    <row r="290" spans="1:58" ht="52.5" customHeight="1" x14ac:dyDescent="0.25">
      <c r="A290" s="61">
        <v>45806</v>
      </c>
      <c r="B290" s="1">
        <v>286</v>
      </c>
      <c r="C290" s="32">
        <v>45827</v>
      </c>
      <c r="D290" s="33">
        <v>0.4236111111111111</v>
      </c>
      <c r="E290" s="13" t="s">
        <v>1659</v>
      </c>
      <c r="F290" s="53" t="s">
        <v>1660</v>
      </c>
      <c r="G290" s="62" t="s">
        <v>736</v>
      </c>
      <c r="H290" s="161" t="s">
        <v>737</v>
      </c>
      <c r="I290" s="43" t="s">
        <v>1643</v>
      </c>
      <c r="J290" s="54" t="s">
        <v>1644</v>
      </c>
      <c r="K290" s="13" t="s">
        <v>760</v>
      </c>
    </row>
    <row r="291" spans="1:58" ht="22.5" customHeight="1" x14ac:dyDescent="0.25">
      <c r="A291" s="61">
        <v>45806</v>
      </c>
      <c r="B291" s="31">
        <v>287</v>
      </c>
      <c r="C291" s="32">
        <v>45827</v>
      </c>
      <c r="D291" s="33">
        <v>0.42708333333333331</v>
      </c>
      <c r="E291" s="13" t="s">
        <v>1661</v>
      </c>
      <c r="F291" s="53" t="s">
        <v>1662</v>
      </c>
      <c r="G291" s="62" t="s">
        <v>736</v>
      </c>
      <c r="H291" s="161" t="s">
        <v>737</v>
      </c>
      <c r="I291" s="43" t="s">
        <v>1643</v>
      </c>
      <c r="J291" s="54" t="s">
        <v>1644</v>
      </c>
      <c r="K291" s="13" t="s">
        <v>760</v>
      </c>
    </row>
    <row r="292" spans="1:58" ht="22.5" customHeight="1" x14ac:dyDescent="0.25">
      <c r="A292" s="61">
        <v>45806</v>
      </c>
      <c r="B292" s="31">
        <v>288</v>
      </c>
      <c r="C292" s="32">
        <v>45827</v>
      </c>
      <c r="D292" s="33">
        <v>0.43055555555555558</v>
      </c>
      <c r="E292" s="13" t="s">
        <v>1663</v>
      </c>
      <c r="F292" s="53" t="s">
        <v>1664</v>
      </c>
      <c r="G292" s="62" t="s">
        <v>736</v>
      </c>
      <c r="H292" s="161" t="s">
        <v>737</v>
      </c>
      <c r="I292" s="43" t="s">
        <v>1643</v>
      </c>
      <c r="J292" s="54" t="s">
        <v>1644</v>
      </c>
      <c r="K292" s="13" t="s">
        <v>760</v>
      </c>
    </row>
    <row r="293" spans="1:58" ht="22.5" customHeight="1" x14ac:dyDescent="0.25">
      <c r="A293" s="61">
        <v>45806</v>
      </c>
      <c r="B293" s="31">
        <v>289</v>
      </c>
      <c r="C293" s="32">
        <v>45820</v>
      </c>
      <c r="D293" s="33">
        <v>0.37847222222222221</v>
      </c>
      <c r="E293" s="13" t="s">
        <v>1665</v>
      </c>
      <c r="F293" s="53" t="s">
        <v>1666</v>
      </c>
      <c r="G293" s="62" t="s">
        <v>854</v>
      </c>
      <c r="H293" s="161" t="s">
        <v>855</v>
      </c>
      <c r="I293" s="43" t="s">
        <v>1667</v>
      </c>
      <c r="J293" s="54" t="s">
        <v>1668</v>
      </c>
      <c r="K293" s="13" t="s">
        <v>192</v>
      </c>
    </row>
    <row r="294" spans="1:58" ht="22.5" customHeight="1" x14ac:dyDescent="0.25">
      <c r="A294" s="61">
        <v>45806</v>
      </c>
      <c r="B294" s="31">
        <v>290</v>
      </c>
      <c r="C294" s="32">
        <v>45820</v>
      </c>
      <c r="D294" s="33">
        <v>0.375</v>
      </c>
      <c r="E294" s="13" t="s">
        <v>1669</v>
      </c>
      <c r="F294" s="53" t="s">
        <v>1670</v>
      </c>
      <c r="G294" s="62" t="s">
        <v>879</v>
      </c>
      <c r="H294" s="161" t="s">
        <v>880</v>
      </c>
      <c r="I294" s="43" t="s">
        <v>1671</v>
      </c>
      <c r="J294" s="54" t="s">
        <v>1672</v>
      </c>
      <c r="K294" s="13" t="s">
        <v>584</v>
      </c>
    </row>
    <row r="295" spans="1:58" ht="31.5" customHeight="1" x14ac:dyDescent="0.25">
      <c r="A295" s="61">
        <v>45807</v>
      </c>
      <c r="B295" s="1">
        <v>291</v>
      </c>
      <c r="C295" s="32">
        <v>45827</v>
      </c>
      <c r="D295" s="33">
        <v>0.43402777777777779</v>
      </c>
      <c r="E295" s="13" t="s">
        <v>1673</v>
      </c>
      <c r="F295" s="53" t="s">
        <v>1674</v>
      </c>
      <c r="G295" s="62" t="s">
        <v>718</v>
      </c>
      <c r="H295" s="161" t="s">
        <v>719</v>
      </c>
      <c r="I295" s="43" t="s">
        <v>1675</v>
      </c>
      <c r="J295" s="54" t="s">
        <v>1676</v>
      </c>
      <c r="K295" s="13" t="s">
        <v>1677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</row>
    <row r="296" spans="1:58" ht="22.5" customHeight="1" x14ac:dyDescent="0.25">
      <c r="A296" s="61">
        <v>45807</v>
      </c>
      <c r="B296" s="31">
        <v>292</v>
      </c>
      <c r="C296" s="32">
        <v>45827</v>
      </c>
      <c r="D296" s="33">
        <v>0.4375</v>
      </c>
      <c r="E296" s="13" t="s">
        <v>1673</v>
      </c>
      <c r="F296" s="53" t="s">
        <v>1674</v>
      </c>
      <c r="G296" s="62" t="s">
        <v>718</v>
      </c>
      <c r="H296" s="161" t="s">
        <v>719</v>
      </c>
      <c r="I296" s="43" t="s">
        <v>1675</v>
      </c>
      <c r="J296" s="54" t="s">
        <v>1676</v>
      </c>
      <c r="K296" s="13" t="s">
        <v>1678</v>
      </c>
    </row>
    <row r="297" spans="1:58" ht="22.5" customHeight="1" x14ac:dyDescent="0.25">
      <c r="A297" s="61">
        <v>45807</v>
      </c>
      <c r="B297" s="31">
        <v>293</v>
      </c>
      <c r="C297" s="32">
        <v>45827</v>
      </c>
      <c r="D297" s="33">
        <v>0.44097222222222221</v>
      </c>
      <c r="E297" s="13" t="s">
        <v>1679</v>
      </c>
      <c r="F297" s="53" t="s">
        <v>1680</v>
      </c>
      <c r="G297" s="62" t="s">
        <v>718</v>
      </c>
      <c r="H297" s="161" t="s">
        <v>719</v>
      </c>
      <c r="I297" s="43" t="s">
        <v>1675</v>
      </c>
      <c r="J297" s="54" t="s">
        <v>1676</v>
      </c>
      <c r="K297" s="13" t="s">
        <v>1677</v>
      </c>
    </row>
    <row r="298" spans="1:58" x14ac:dyDescent="0.25">
      <c r="A298" s="61">
        <v>45807</v>
      </c>
      <c r="B298" s="31">
        <v>294</v>
      </c>
      <c r="C298" s="32">
        <v>45827</v>
      </c>
      <c r="D298" s="33">
        <v>0.44444444444444442</v>
      </c>
      <c r="E298" s="13" t="s">
        <v>1679</v>
      </c>
      <c r="F298" s="53" t="s">
        <v>1680</v>
      </c>
      <c r="G298" s="62" t="s">
        <v>718</v>
      </c>
      <c r="H298" s="161" t="s">
        <v>719</v>
      </c>
      <c r="I298" s="43" t="s">
        <v>1675</v>
      </c>
      <c r="J298" s="54" t="s">
        <v>1676</v>
      </c>
      <c r="K298" s="13" t="s">
        <v>1678</v>
      </c>
    </row>
    <row r="299" spans="1:58" x14ac:dyDescent="0.25">
      <c r="A299" s="61">
        <v>45807</v>
      </c>
      <c r="B299" s="31">
        <v>295</v>
      </c>
      <c r="C299" s="32">
        <v>45827</v>
      </c>
      <c r="D299" s="33">
        <v>0.44791666666666669</v>
      </c>
      <c r="E299" s="13" t="s">
        <v>1681</v>
      </c>
      <c r="F299" s="53" t="s">
        <v>1682</v>
      </c>
      <c r="G299" s="62" t="s">
        <v>718</v>
      </c>
      <c r="H299" s="161" t="s">
        <v>719</v>
      </c>
      <c r="I299" s="43" t="s">
        <v>1675</v>
      </c>
      <c r="J299" s="54" t="s">
        <v>1676</v>
      </c>
      <c r="K299" s="13" t="s">
        <v>1678</v>
      </c>
    </row>
    <row r="300" spans="1:58" ht="22.5" customHeight="1" x14ac:dyDescent="0.25">
      <c r="A300" s="61">
        <v>45811</v>
      </c>
      <c r="B300" s="31">
        <v>296</v>
      </c>
      <c r="C300" s="32">
        <v>45827</v>
      </c>
      <c r="D300" s="33">
        <v>0.4513888888888889</v>
      </c>
      <c r="E300" s="13" t="s">
        <v>1683</v>
      </c>
      <c r="F300" s="53" t="s">
        <v>1684</v>
      </c>
      <c r="G300" s="62" t="s">
        <v>1685</v>
      </c>
      <c r="H300" s="161" t="s">
        <v>1686</v>
      </c>
      <c r="I300" s="43" t="s">
        <v>1687</v>
      </c>
      <c r="J300" s="54" t="s">
        <v>1688</v>
      </c>
      <c r="K300" s="13" t="s">
        <v>1689</v>
      </c>
    </row>
    <row r="301" spans="1:58" ht="22.5" customHeight="1" x14ac:dyDescent="0.25">
      <c r="A301" s="61">
        <v>45813</v>
      </c>
      <c r="B301" s="31">
        <v>297</v>
      </c>
      <c r="C301" s="32">
        <v>45827</v>
      </c>
      <c r="D301" s="33">
        <v>0.4548611111111111</v>
      </c>
      <c r="E301" s="13" t="s">
        <v>1690</v>
      </c>
      <c r="F301" s="53" t="s">
        <v>1691</v>
      </c>
      <c r="G301" s="62"/>
      <c r="I301" s="43" t="s">
        <v>727</v>
      </c>
      <c r="J301" s="54" t="s">
        <v>728</v>
      </c>
      <c r="K301" s="13" t="s">
        <v>1216</v>
      </c>
    </row>
    <row r="302" spans="1:58" ht="22.5" customHeight="1" x14ac:dyDescent="0.25">
      <c r="A302" s="61">
        <v>45813</v>
      </c>
      <c r="B302" s="31">
        <v>298</v>
      </c>
      <c r="C302" s="32">
        <v>45827</v>
      </c>
      <c r="D302" s="33">
        <v>0.45833333333333331</v>
      </c>
      <c r="E302" s="13" t="s">
        <v>1690</v>
      </c>
      <c r="F302" s="53" t="s">
        <v>1691</v>
      </c>
      <c r="G302" s="62"/>
      <c r="I302" s="43" t="s">
        <v>850</v>
      </c>
      <c r="J302" s="54" t="s">
        <v>728</v>
      </c>
      <c r="K302" s="13" t="s">
        <v>1692</v>
      </c>
    </row>
    <row r="303" spans="1:58" ht="22.5" customHeight="1" x14ac:dyDescent="0.25">
      <c r="A303" s="61">
        <v>45813</v>
      </c>
      <c r="B303" s="31">
        <v>299</v>
      </c>
      <c r="C303" s="32">
        <v>45827</v>
      </c>
      <c r="D303" s="33">
        <v>0.46180555555555558</v>
      </c>
      <c r="E303" s="118" t="s">
        <v>1694</v>
      </c>
      <c r="F303" s="119" t="s">
        <v>1693</v>
      </c>
      <c r="G303" s="120"/>
      <c r="H303" s="165"/>
      <c r="I303" s="121" t="s">
        <v>727</v>
      </c>
      <c r="J303" s="54" t="s">
        <v>728</v>
      </c>
      <c r="K303" s="13" t="s">
        <v>1216</v>
      </c>
    </row>
    <row r="304" spans="1:58" ht="22.5" customHeight="1" x14ac:dyDescent="0.25">
      <c r="A304" s="61">
        <v>45813</v>
      </c>
      <c r="B304" s="31">
        <v>300</v>
      </c>
      <c r="C304" s="32">
        <v>45827</v>
      </c>
      <c r="D304" s="33">
        <v>0.46527777777777779</v>
      </c>
      <c r="E304" s="118" t="s">
        <v>1694</v>
      </c>
      <c r="F304" s="119" t="s">
        <v>1693</v>
      </c>
      <c r="G304" s="120"/>
      <c r="H304" s="165"/>
      <c r="I304" s="121" t="s">
        <v>850</v>
      </c>
      <c r="J304" s="54" t="s">
        <v>728</v>
      </c>
      <c r="K304" s="13" t="s">
        <v>1692</v>
      </c>
    </row>
    <row r="305" spans="1:11" ht="22.5" customHeight="1" x14ac:dyDescent="0.25">
      <c r="A305" s="61">
        <v>45813</v>
      </c>
      <c r="B305" s="31">
        <v>301</v>
      </c>
      <c r="C305" s="32">
        <v>45834</v>
      </c>
      <c r="D305" s="33">
        <v>0.39583333333333331</v>
      </c>
      <c r="E305" s="13" t="s">
        <v>1697</v>
      </c>
      <c r="F305" s="53" t="s">
        <v>1695</v>
      </c>
      <c r="G305" s="62" t="s">
        <v>736</v>
      </c>
      <c r="H305" s="161" t="s">
        <v>1696</v>
      </c>
      <c r="I305" s="43" t="s">
        <v>832</v>
      </c>
      <c r="J305" s="54" t="s">
        <v>833</v>
      </c>
      <c r="K305" s="13" t="s">
        <v>42</v>
      </c>
    </row>
    <row r="306" spans="1:11" ht="22.5" customHeight="1" x14ac:dyDescent="0.25">
      <c r="A306" s="61">
        <v>45818</v>
      </c>
      <c r="B306" s="31">
        <v>302</v>
      </c>
      <c r="C306" s="32">
        <v>45834</v>
      </c>
      <c r="D306" s="33">
        <v>0.39930555555555558</v>
      </c>
      <c r="E306" s="13" t="s">
        <v>1698</v>
      </c>
      <c r="F306" s="53" t="s">
        <v>1699</v>
      </c>
      <c r="G306" s="62"/>
      <c r="I306" s="43" t="s">
        <v>1700</v>
      </c>
      <c r="J306" s="54" t="s">
        <v>1701</v>
      </c>
      <c r="K306" s="13"/>
    </row>
    <row r="307" spans="1:11" ht="22.5" customHeight="1" x14ac:dyDescent="0.25">
      <c r="A307" s="61">
        <v>45819</v>
      </c>
      <c r="B307" s="31">
        <v>303</v>
      </c>
      <c r="C307" s="32">
        <v>45834</v>
      </c>
      <c r="D307" s="33">
        <v>0.40277777777777779</v>
      </c>
      <c r="E307" s="13" t="s">
        <v>1702</v>
      </c>
      <c r="F307" s="53" t="s">
        <v>1703</v>
      </c>
      <c r="G307" s="62"/>
      <c r="I307" s="43" t="s">
        <v>727</v>
      </c>
      <c r="J307" s="54" t="s">
        <v>728</v>
      </c>
      <c r="K307" s="13" t="s">
        <v>1216</v>
      </c>
    </row>
    <row r="308" spans="1:11" ht="22.5" customHeight="1" x14ac:dyDescent="0.25">
      <c r="A308" s="61">
        <v>45819</v>
      </c>
      <c r="B308" s="31">
        <v>304</v>
      </c>
      <c r="C308" s="32">
        <v>45834</v>
      </c>
      <c r="D308" s="33">
        <v>0.40625</v>
      </c>
      <c r="E308" s="13" t="s">
        <v>1704</v>
      </c>
      <c r="F308" s="53" t="s">
        <v>1705</v>
      </c>
      <c r="G308" s="62"/>
      <c r="I308" s="43" t="s">
        <v>727</v>
      </c>
      <c r="J308" s="54" t="s">
        <v>728</v>
      </c>
      <c r="K308" s="13"/>
    </row>
    <row r="309" spans="1:11" ht="22.5" customHeight="1" x14ac:dyDescent="0.25">
      <c r="A309" s="61">
        <v>45819</v>
      </c>
      <c r="B309" s="31">
        <v>305</v>
      </c>
      <c r="C309" s="32">
        <v>45834</v>
      </c>
      <c r="D309" s="33">
        <v>0.40972222222222221</v>
      </c>
      <c r="E309" s="13" t="s">
        <v>1706</v>
      </c>
      <c r="F309" s="53" t="s">
        <v>1707</v>
      </c>
      <c r="G309" s="62"/>
      <c r="I309" s="43" t="s">
        <v>1708</v>
      </c>
      <c r="J309" s="54" t="s">
        <v>1709</v>
      </c>
      <c r="K309" s="13" t="s">
        <v>1710</v>
      </c>
    </row>
    <row r="310" spans="1:11" ht="22.5" customHeight="1" x14ac:dyDescent="0.25">
      <c r="A310" s="61">
        <v>45821</v>
      </c>
      <c r="B310" s="31">
        <v>306</v>
      </c>
      <c r="C310" s="32">
        <v>45841</v>
      </c>
      <c r="D310" s="33">
        <v>0.39583333333333331</v>
      </c>
      <c r="E310" s="13" t="s">
        <v>1711</v>
      </c>
      <c r="F310" s="53" t="s">
        <v>1712</v>
      </c>
      <c r="G310" s="62"/>
      <c r="I310" s="43" t="s">
        <v>1713</v>
      </c>
      <c r="J310" s="54" t="s">
        <v>1714</v>
      </c>
      <c r="K310" s="13" t="s">
        <v>1497</v>
      </c>
    </row>
    <row r="311" spans="1:11" ht="22.5" customHeight="1" x14ac:dyDescent="0.25">
      <c r="A311" s="61">
        <v>45824</v>
      </c>
      <c r="B311" s="31">
        <v>307</v>
      </c>
      <c r="C311" s="32">
        <v>45841</v>
      </c>
      <c r="D311" s="33">
        <v>0.39930555555555558</v>
      </c>
      <c r="E311" s="13" t="s">
        <v>1360</v>
      </c>
      <c r="F311" s="53" t="s">
        <v>1715</v>
      </c>
      <c r="G311" s="62"/>
      <c r="I311" s="43" t="s">
        <v>1716</v>
      </c>
      <c r="J311" s="54" t="s">
        <v>1095</v>
      </c>
      <c r="K311" s="13" t="s">
        <v>1717</v>
      </c>
    </row>
    <row r="312" spans="1:11" ht="22.5" hidden="1" customHeight="1" x14ac:dyDescent="0.25">
      <c r="A312" s="61">
        <v>45824</v>
      </c>
      <c r="B312" s="31">
        <v>308</v>
      </c>
      <c r="C312" s="41">
        <v>45834</v>
      </c>
      <c r="D312" s="42">
        <v>0.41319444444444442</v>
      </c>
      <c r="E312" s="13" t="s">
        <v>1718</v>
      </c>
      <c r="F312" s="53" t="s">
        <v>1719</v>
      </c>
      <c r="G312" s="62"/>
      <c r="H312" s="54"/>
      <c r="I312" s="43" t="s">
        <v>1720</v>
      </c>
      <c r="J312" s="54" t="s">
        <v>1721</v>
      </c>
      <c r="K312" s="13" t="s">
        <v>1722</v>
      </c>
    </row>
    <row r="313" spans="1:11" ht="22.5" customHeight="1" x14ac:dyDescent="0.25">
      <c r="A313" s="61">
        <v>45825</v>
      </c>
      <c r="B313" s="31">
        <v>309</v>
      </c>
      <c r="C313" s="32">
        <v>45841</v>
      </c>
      <c r="D313" s="33">
        <v>0.40277777777777779</v>
      </c>
      <c r="E313" s="13" t="s">
        <v>1723</v>
      </c>
      <c r="F313" s="53" t="s">
        <v>1724</v>
      </c>
      <c r="G313" s="62" t="s">
        <v>800</v>
      </c>
      <c r="H313" s="161" t="s">
        <v>796</v>
      </c>
      <c r="I313" s="43" t="s">
        <v>1725</v>
      </c>
      <c r="J313" s="54" t="s">
        <v>1726</v>
      </c>
      <c r="K313" s="13" t="s">
        <v>1727</v>
      </c>
    </row>
    <row r="314" spans="1:11" ht="22.5" customHeight="1" x14ac:dyDescent="0.25">
      <c r="A314" s="61">
        <v>45825</v>
      </c>
      <c r="B314" s="31">
        <v>310</v>
      </c>
      <c r="C314" s="32">
        <v>45841</v>
      </c>
      <c r="D314" s="33">
        <v>0.40625</v>
      </c>
      <c r="E314" s="13" t="s">
        <v>1728</v>
      </c>
      <c r="F314" s="53" t="s">
        <v>1729</v>
      </c>
      <c r="G314" s="62" t="s">
        <v>800</v>
      </c>
      <c r="H314" s="161" t="s">
        <v>796</v>
      </c>
      <c r="I314" s="43" t="s">
        <v>1725</v>
      </c>
      <c r="J314" s="54" t="s">
        <v>1726</v>
      </c>
      <c r="K314" s="13" t="s">
        <v>1727</v>
      </c>
    </row>
    <row r="315" spans="1:11" ht="22.5" customHeight="1" x14ac:dyDescent="0.25">
      <c r="A315" s="61">
        <v>45825</v>
      </c>
      <c r="B315" s="31">
        <v>311</v>
      </c>
      <c r="C315" s="32">
        <v>45841</v>
      </c>
      <c r="D315" s="33">
        <v>0.40972222222222221</v>
      </c>
      <c r="E315" s="13" t="s">
        <v>1730</v>
      </c>
      <c r="F315" s="53" t="s">
        <v>1731</v>
      </c>
      <c r="G315" s="62" t="s">
        <v>800</v>
      </c>
      <c r="H315" s="161" t="s">
        <v>796</v>
      </c>
      <c r="I315" s="43" t="s">
        <v>1725</v>
      </c>
      <c r="J315" s="54" t="s">
        <v>1726</v>
      </c>
      <c r="K315" s="13" t="s">
        <v>1727</v>
      </c>
    </row>
    <row r="316" spans="1:11" ht="22.5" hidden="1" customHeight="1" x14ac:dyDescent="0.25">
      <c r="A316" s="61">
        <v>45825</v>
      </c>
      <c r="B316" s="31">
        <v>312</v>
      </c>
      <c r="C316" s="41">
        <v>45841</v>
      </c>
      <c r="D316" s="42">
        <v>0.41319444444444442</v>
      </c>
      <c r="E316" s="13" t="s">
        <v>1732</v>
      </c>
      <c r="F316" s="53" t="s">
        <v>1733</v>
      </c>
      <c r="G316" s="62" t="s">
        <v>800</v>
      </c>
      <c r="H316" s="54" t="s">
        <v>796</v>
      </c>
      <c r="I316" s="43" t="s">
        <v>1725</v>
      </c>
      <c r="J316" s="54" t="s">
        <v>1726</v>
      </c>
      <c r="K316" s="13" t="s">
        <v>1727</v>
      </c>
    </row>
    <row r="317" spans="1:11" ht="22.5" customHeight="1" x14ac:dyDescent="0.25">
      <c r="A317" s="61">
        <v>45825</v>
      </c>
      <c r="B317" s="31">
        <v>313</v>
      </c>
      <c r="C317" s="32">
        <v>45841</v>
      </c>
      <c r="D317" s="33">
        <v>0.41666666666666669</v>
      </c>
      <c r="E317" s="13" t="s">
        <v>1734</v>
      </c>
      <c r="F317" s="53" t="s">
        <v>1735</v>
      </c>
      <c r="G317" s="62" t="s">
        <v>1736</v>
      </c>
      <c r="H317" s="161" t="s">
        <v>1737</v>
      </c>
      <c r="I317" s="43" t="s">
        <v>104</v>
      </c>
      <c r="J317" s="54" t="s">
        <v>1738</v>
      </c>
      <c r="K317" s="13" t="s">
        <v>71</v>
      </c>
    </row>
    <row r="318" spans="1:11" ht="22.5" customHeight="1" x14ac:dyDescent="0.25">
      <c r="A318" s="61">
        <v>45825</v>
      </c>
      <c r="B318" s="31">
        <v>314</v>
      </c>
      <c r="C318" s="32">
        <v>45841</v>
      </c>
      <c r="D318" s="33">
        <v>0.4201388888888889</v>
      </c>
      <c r="E318" s="13" t="s">
        <v>1739</v>
      </c>
      <c r="F318" s="53" t="s">
        <v>1740</v>
      </c>
      <c r="G318" s="62" t="s">
        <v>1741</v>
      </c>
      <c r="H318" s="161" t="s">
        <v>1742</v>
      </c>
      <c r="I318" s="43" t="s">
        <v>104</v>
      </c>
      <c r="J318" s="54" t="s">
        <v>1738</v>
      </c>
      <c r="K318" s="13" t="s">
        <v>71</v>
      </c>
    </row>
    <row r="319" spans="1:11" ht="22.5" customHeight="1" x14ac:dyDescent="0.25">
      <c r="A319" s="61">
        <v>45825</v>
      </c>
      <c r="B319" s="31">
        <v>315</v>
      </c>
      <c r="C319" s="32">
        <v>45841</v>
      </c>
      <c r="D319" s="33">
        <v>0.4236111111111111</v>
      </c>
      <c r="E319" s="13" t="s">
        <v>280</v>
      </c>
      <c r="F319" s="53" t="s">
        <v>1493</v>
      </c>
      <c r="G319" s="62" t="s">
        <v>879</v>
      </c>
      <c r="H319" s="161" t="s">
        <v>880</v>
      </c>
      <c r="I319" s="43" t="s">
        <v>102</v>
      </c>
      <c r="J319" s="54" t="s">
        <v>1070</v>
      </c>
      <c r="K319" s="13" t="s">
        <v>881</v>
      </c>
    </row>
    <row r="320" spans="1:11" ht="22.5" customHeight="1" x14ac:dyDescent="0.25">
      <c r="A320" s="61">
        <v>45825</v>
      </c>
      <c r="B320" s="31">
        <v>316</v>
      </c>
      <c r="C320" s="32">
        <v>45841</v>
      </c>
      <c r="D320" s="33">
        <v>0.42708333333333331</v>
      </c>
      <c r="E320" s="13" t="s">
        <v>1743</v>
      </c>
      <c r="F320" s="53" t="s">
        <v>1744</v>
      </c>
      <c r="G320" s="62" t="s">
        <v>736</v>
      </c>
      <c r="H320" s="161" t="s">
        <v>737</v>
      </c>
      <c r="I320" s="43" t="s">
        <v>1745</v>
      </c>
      <c r="J320" s="54" t="s">
        <v>1746</v>
      </c>
      <c r="K320" s="13" t="s">
        <v>1747</v>
      </c>
    </row>
    <row r="321" spans="1:58" ht="22.5" customHeight="1" x14ac:dyDescent="0.25">
      <c r="A321" s="61">
        <v>45825</v>
      </c>
      <c r="B321" s="31">
        <v>317</v>
      </c>
      <c r="C321" s="32">
        <v>45841</v>
      </c>
      <c r="D321" s="33">
        <v>0.43055555555555558</v>
      </c>
      <c r="E321" s="13" t="s">
        <v>1748</v>
      </c>
      <c r="F321" s="53" t="s">
        <v>1749</v>
      </c>
      <c r="G321" s="62" t="s">
        <v>736</v>
      </c>
      <c r="H321" s="161" t="s">
        <v>737</v>
      </c>
      <c r="I321" s="43" t="s">
        <v>100</v>
      </c>
      <c r="J321" s="54" t="s">
        <v>833</v>
      </c>
      <c r="K321" s="13" t="s">
        <v>42</v>
      </c>
    </row>
    <row r="322" spans="1:58" ht="22.5" customHeight="1" x14ac:dyDescent="0.25">
      <c r="A322" s="61">
        <v>45825</v>
      </c>
      <c r="B322" s="31">
        <v>318</v>
      </c>
      <c r="C322" s="32">
        <v>45841</v>
      </c>
      <c r="D322" s="33">
        <v>0.43402777777777779</v>
      </c>
      <c r="E322" s="13" t="s">
        <v>1750</v>
      </c>
      <c r="F322" s="53" t="s">
        <v>1751</v>
      </c>
      <c r="G322" s="62" t="s">
        <v>1752</v>
      </c>
      <c r="H322" s="161" t="s">
        <v>1753</v>
      </c>
      <c r="I322" s="43" t="s">
        <v>118</v>
      </c>
      <c r="J322" s="54" t="s">
        <v>764</v>
      </c>
      <c r="K322" s="13" t="s">
        <v>254</v>
      </c>
    </row>
    <row r="323" spans="1:58" ht="53.25" customHeight="1" x14ac:dyDescent="0.25">
      <c r="A323" s="61">
        <v>45831</v>
      </c>
      <c r="B323" s="31" t="s">
        <v>1754</v>
      </c>
      <c r="C323" s="32">
        <v>45834</v>
      </c>
      <c r="D323" s="33">
        <v>0.41666666666666669</v>
      </c>
      <c r="E323" s="13" t="s">
        <v>1755</v>
      </c>
      <c r="F323" s="53" t="s">
        <v>1756</v>
      </c>
      <c r="G323" s="62" t="s">
        <v>966</v>
      </c>
      <c r="H323" s="161" t="s">
        <v>777</v>
      </c>
      <c r="I323" s="43" t="s">
        <v>1757</v>
      </c>
      <c r="J323" s="54" t="s">
        <v>1758</v>
      </c>
      <c r="K323" s="13" t="s">
        <v>458</v>
      </c>
    </row>
    <row r="324" spans="1:58" ht="22.5" customHeight="1" x14ac:dyDescent="0.25">
      <c r="A324" s="61">
        <v>45828</v>
      </c>
      <c r="B324" s="31">
        <v>319</v>
      </c>
      <c r="C324" s="32">
        <v>45848</v>
      </c>
      <c r="D324" s="33">
        <v>0.39583333333333331</v>
      </c>
      <c r="E324" s="13" t="s">
        <v>1759</v>
      </c>
      <c r="F324" s="53" t="s">
        <v>1760</v>
      </c>
      <c r="G324" s="62"/>
      <c r="I324" s="43" t="s">
        <v>1761</v>
      </c>
      <c r="J324" s="54" t="s">
        <v>1762</v>
      </c>
      <c r="K324" s="13" t="s">
        <v>90</v>
      </c>
    </row>
    <row r="325" spans="1:58" ht="22.5" customHeight="1" x14ac:dyDescent="0.25">
      <c r="A325" s="61">
        <v>45828</v>
      </c>
      <c r="B325" s="31">
        <v>320</v>
      </c>
      <c r="C325" s="32">
        <v>45848</v>
      </c>
      <c r="D325" s="33">
        <v>0.39930555555555558</v>
      </c>
      <c r="E325" s="13" t="s">
        <v>1763</v>
      </c>
      <c r="F325" s="53" t="s">
        <v>1764</v>
      </c>
      <c r="G325" s="62" t="s">
        <v>1765</v>
      </c>
      <c r="H325" s="161" t="s">
        <v>1766</v>
      </c>
      <c r="I325" s="43" t="s">
        <v>104</v>
      </c>
      <c r="J325" s="54" t="s">
        <v>1738</v>
      </c>
      <c r="K325" s="13" t="s">
        <v>284</v>
      </c>
    </row>
    <row r="326" spans="1:58" ht="22.5" customHeight="1" x14ac:dyDescent="0.25">
      <c r="A326" s="61">
        <v>45828</v>
      </c>
      <c r="B326" s="31">
        <v>321</v>
      </c>
      <c r="C326" s="32">
        <v>45848</v>
      </c>
      <c r="D326" s="33">
        <v>0.40277777777777779</v>
      </c>
      <c r="E326" s="13" t="s">
        <v>1576</v>
      </c>
      <c r="F326" s="53" t="s">
        <v>1577</v>
      </c>
      <c r="G326" s="62" t="s">
        <v>879</v>
      </c>
      <c r="H326" s="161" t="s">
        <v>880</v>
      </c>
      <c r="I326" s="43" t="s">
        <v>560</v>
      </c>
      <c r="J326" s="54" t="s">
        <v>1204</v>
      </c>
      <c r="K326" s="13" t="s">
        <v>30</v>
      </c>
    </row>
    <row r="327" spans="1:58" ht="22.5" customHeight="1" x14ac:dyDescent="0.25">
      <c r="A327" s="61">
        <v>45828</v>
      </c>
      <c r="B327" s="31">
        <v>322</v>
      </c>
      <c r="C327" s="32">
        <v>45848</v>
      </c>
      <c r="D327" s="33">
        <v>0.40625</v>
      </c>
      <c r="E327" s="13" t="s">
        <v>1767</v>
      </c>
      <c r="F327" s="53" t="s">
        <v>1768</v>
      </c>
      <c r="G327" s="62" t="s">
        <v>1769</v>
      </c>
      <c r="H327" s="161" t="s">
        <v>784</v>
      </c>
      <c r="I327" s="43" t="s">
        <v>102</v>
      </c>
      <c r="J327" s="54" t="s">
        <v>1070</v>
      </c>
      <c r="K327" s="13" t="s">
        <v>158</v>
      </c>
    </row>
    <row r="328" spans="1:58" ht="22.5" customHeight="1" x14ac:dyDescent="0.25">
      <c r="A328" s="61">
        <v>45831</v>
      </c>
      <c r="B328" s="31">
        <v>323</v>
      </c>
      <c r="C328" s="32">
        <v>45848</v>
      </c>
      <c r="D328" s="33">
        <v>0.40972222222222221</v>
      </c>
      <c r="E328" s="13" t="s">
        <v>1770</v>
      </c>
      <c r="F328" s="53" t="s">
        <v>1771</v>
      </c>
      <c r="G328" s="62"/>
      <c r="I328" s="43" t="s">
        <v>1772</v>
      </c>
      <c r="J328" s="54" t="s">
        <v>869</v>
      </c>
      <c r="K328" s="13" t="s">
        <v>90</v>
      </c>
    </row>
    <row r="329" spans="1:58" ht="22.5" hidden="1" customHeight="1" x14ac:dyDescent="0.25">
      <c r="A329" s="61">
        <v>45831</v>
      </c>
      <c r="B329" s="31">
        <v>324</v>
      </c>
      <c r="C329" s="41">
        <v>45848</v>
      </c>
      <c r="D329" s="42">
        <v>0.41319444444444442</v>
      </c>
      <c r="E329" s="13" t="s">
        <v>1773</v>
      </c>
      <c r="F329" s="53" t="s">
        <v>1774</v>
      </c>
      <c r="G329" s="62"/>
      <c r="H329" s="54"/>
      <c r="I329" s="43" t="s">
        <v>1772</v>
      </c>
      <c r="J329" s="54" t="s">
        <v>869</v>
      </c>
      <c r="K329" s="13" t="s">
        <v>90</v>
      </c>
    </row>
    <row r="330" spans="1:58" ht="22.5" customHeight="1" x14ac:dyDescent="0.25">
      <c r="A330" s="61">
        <v>45831</v>
      </c>
      <c r="B330" s="31">
        <v>325</v>
      </c>
      <c r="C330" s="32">
        <v>45848</v>
      </c>
      <c r="D330" s="33">
        <v>0.41666666666666669</v>
      </c>
      <c r="E330" s="13" t="s">
        <v>1775</v>
      </c>
      <c r="F330" s="53" t="s">
        <v>1776</v>
      </c>
      <c r="G330" s="62" t="s">
        <v>879</v>
      </c>
      <c r="H330" s="161" t="s">
        <v>880</v>
      </c>
      <c r="I330" s="43" t="s">
        <v>1777</v>
      </c>
      <c r="J330" s="54" t="s">
        <v>1778</v>
      </c>
      <c r="K330" s="13" t="s">
        <v>1779</v>
      </c>
    </row>
    <row r="331" spans="1:58" ht="22.5" customHeight="1" x14ac:dyDescent="0.25">
      <c r="A331" s="61">
        <v>45833</v>
      </c>
      <c r="B331" s="31">
        <v>326</v>
      </c>
      <c r="C331" s="32">
        <v>45855</v>
      </c>
      <c r="D331" s="33">
        <v>0.39583333333333331</v>
      </c>
      <c r="E331" s="13" t="s">
        <v>1780</v>
      </c>
      <c r="F331" s="53" t="s">
        <v>1781</v>
      </c>
      <c r="G331" s="62" t="s">
        <v>800</v>
      </c>
      <c r="H331" s="161" t="s">
        <v>796</v>
      </c>
      <c r="I331" s="43" t="s">
        <v>1782</v>
      </c>
      <c r="J331" s="54" t="s">
        <v>1783</v>
      </c>
      <c r="K331" s="13" t="s">
        <v>1784</v>
      </c>
    </row>
    <row r="332" spans="1:58" ht="22.5" customHeight="1" x14ac:dyDescent="0.25">
      <c r="A332" s="61">
        <v>45833</v>
      </c>
      <c r="B332" s="31">
        <v>327</v>
      </c>
      <c r="C332" s="32">
        <v>45855</v>
      </c>
      <c r="D332" s="33">
        <v>0.39930555555555558</v>
      </c>
      <c r="E332" s="13" t="s">
        <v>1785</v>
      </c>
      <c r="F332" s="53" t="s">
        <v>1786</v>
      </c>
      <c r="G332" s="62" t="s">
        <v>800</v>
      </c>
      <c r="H332" s="161" t="s">
        <v>796</v>
      </c>
      <c r="I332" s="43" t="s">
        <v>1782</v>
      </c>
      <c r="J332" s="54" t="s">
        <v>1783</v>
      </c>
      <c r="K332" s="13" t="s">
        <v>1784</v>
      </c>
    </row>
    <row r="333" spans="1:58" ht="22.5" customHeight="1" x14ac:dyDescent="0.25">
      <c r="A333" s="61">
        <v>45833</v>
      </c>
      <c r="B333" s="31">
        <v>328</v>
      </c>
      <c r="C333" s="32">
        <v>45855</v>
      </c>
      <c r="D333" s="33">
        <v>0.40277777777777779</v>
      </c>
      <c r="E333" s="13" t="s">
        <v>1787</v>
      </c>
      <c r="F333" s="53" t="s">
        <v>1788</v>
      </c>
      <c r="G333" s="62" t="s">
        <v>800</v>
      </c>
      <c r="H333" s="161" t="s">
        <v>796</v>
      </c>
      <c r="I333" s="43" t="s">
        <v>1782</v>
      </c>
      <c r="J333" s="54" t="s">
        <v>1783</v>
      </c>
      <c r="K333" s="13" t="s">
        <v>1784</v>
      </c>
    </row>
    <row r="334" spans="1:58" ht="22.5" customHeight="1" x14ac:dyDescent="0.25">
      <c r="A334" s="61">
        <v>45833</v>
      </c>
      <c r="B334" s="31">
        <v>329</v>
      </c>
      <c r="C334" s="32">
        <v>45855</v>
      </c>
      <c r="D334" s="33">
        <v>0.40625</v>
      </c>
      <c r="E334" s="13" t="s">
        <v>1789</v>
      </c>
      <c r="F334" s="53" t="s">
        <v>1790</v>
      </c>
      <c r="G334" s="62" t="s">
        <v>800</v>
      </c>
      <c r="H334" s="161" t="s">
        <v>796</v>
      </c>
      <c r="I334" s="43" t="s">
        <v>1782</v>
      </c>
      <c r="J334" s="54" t="s">
        <v>1783</v>
      </c>
      <c r="K334" s="13" t="s">
        <v>1784</v>
      </c>
    </row>
    <row r="335" spans="1:58" ht="22.5" customHeight="1" x14ac:dyDescent="0.25">
      <c r="A335" s="61">
        <v>45833</v>
      </c>
      <c r="B335" s="31">
        <v>330</v>
      </c>
      <c r="C335" s="32">
        <v>45848</v>
      </c>
      <c r="D335" s="33">
        <v>0.4201388888888889</v>
      </c>
      <c r="E335" s="13" t="s">
        <v>529</v>
      </c>
      <c r="F335" s="53" t="s">
        <v>1791</v>
      </c>
      <c r="G335" s="62" t="s">
        <v>718</v>
      </c>
      <c r="H335" s="161" t="s">
        <v>719</v>
      </c>
      <c r="I335" s="43" t="s">
        <v>1792</v>
      </c>
      <c r="J335" s="54" t="s">
        <v>1793</v>
      </c>
      <c r="K335" s="13" t="s">
        <v>1028</v>
      </c>
    </row>
    <row r="336" spans="1:58" ht="33.75" customHeight="1" x14ac:dyDescent="0.25">
      <c r="A336" s="61">
        <v>45833</v>
      </c>
      <c r="B336" s="31">
        <v>331</v>
      </c>
      <c r="C336" s="32">
        <v>45848</v>
      </c>
      <c r="D336" s="33">
        <v>0.4236111111111111</v>
      </c>
      <c r="E336" s="13" t="s">
        <v>1232</v>
      </c>
      <c r="F336" s="53" t="s">
        <v>1233</v>
      </c>
      <c r="G336" s="62" t="s">
        <v>718</v>
      </c>
      <c r="H336" s="161" t="s">
        <v>719</v>
      </c>
      <c r="I336" s="43" t="s">
        <v>102</v>
      </c>
      <c r="J336" s="54" t="s">
        <v>1070</v>
      </c>
      <c r="K336" s="13" t="s">
        <v>1794</v>
      </c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</row>
    <row r="337" spans="1:11" ht="22.5" customHeight="1" x14ac:dyDescent="0.25">
      <c r="A337" s="61">
        <v>45833</v>
      </c>
      <c r="B337" s="31">
        <v>332</v>
      </c>
      <c r="C337" s="32">
        <v>45848</v>
      </c>
      <c r="D337" s="33">
        <v>0.42708333333333331</v>
      </c>
      <c r="E337" s="13" t="s">
        <v>1799</v>
      </c>
      <c r="F337" s="53" t="s">
        <v>1795</v>
      </c>
      <c r="G337" s="62" t="s">
        <v>1796</v>
      </c>
      <c r="H337" s="161" t="s">
        <v>1797</v>
      </c>
      <c r="I337" s="43" t="s">
        <v>104</v>
      </c>
      <c r="J337" s="54" t="s">
        <v>1738</v>
      </c>
      <c r="K337" s="13" t="s">
        <v>1798</v>
      </c>
    </row>
    <row r="338" spans="1:11" ht="22.5" customHeight="1" x14ac:dyDescent="0.25">
      <c r="A338" s="61">
        <v>45833</v>
      </c>
      <c r="B338" s="31">
        <v>333</v>
      </c>
      <c r="C338" s="32">
        <v>45848</v>
      </c>
      <c r="D338" s="33">
        <v>0.43055555555555558</v>
      </c>
      <c r="E338" s="13" t="s">
        <v>1800</v>
      </c>
      <c r="F338" s="53" t="s">
        <v>1801</v>
      </c>
      <c r="G338" s="62" t="s">
        <v>718</v>
      </c>
      <c r="H338" s="161" t="s">
        <v>719</v>
      </c>
      <c r="I338" s="43" t="s">
        <v>1802</v>
      </c>
      <c r="J338" s="54" t="s">
        <v>1803</v>
      </c>
      <c r="K338" s="13" t="s">
        <v>1804</v>
      </c>
    </row>
    <row r="339" spans="1:11" ht="22.5" customHeight="1" x14ac:dyDescent="0.25">
      <c r="A339" s="61">
        <v>45834</v>
      </c>
      <c r="B339" s="31">
        <v>334</v>
      </c>
      <c r="C339" s="32">
        <v>45848</v>
      </c>
      <c r="D339" s="33">
        <v>0.43402777777777779</v>
      </c>
      <c r="E339" s="13" t="s">
        <v>1805</v>
      </c>
      <c r="F339" s="53" t="s">
        <v>1806</v>
      </c>
      <c r="G339" s="62" t="s">
        <v>957</v>
      </c>
      <c r="H339" s="161" t="s">
        <v>900</v>
      </c>
      <c r="I339" s="43" t="s">
        <v>1807</v>
      </c>
      <c r="J339" s="54" t="s">
        <v>1808</v>
      </c>
      <c r="K339" s="13" t="s">
        <v>1430</v>
      </c>
    </row>
    <row r="340" spans="1:11" ht="22.5" customHeight="1" x14ac:dyDescent="0.25">
      <c r="A340" s="61">
        <v>45834</v>
      </c>
      <c r="B340" s="31">
        <v>335</v>
      </c>
      <c r="C340" s="32">
        <v>45848</v>
      </c>
      <c r="D340" s="33">
        <v>0.4375</v>
      </c>
      <c r="E340" s="13" t="s">
        <v>1428</v>
      </c>
      <c r="F340" s="53" t="s">
        <v>1809</v>
      </c>
      <c r="G340" s="62" t="s">
        <v>966</v>
      </c>
      <c r="H340" s="161" t="s">
        <v>777</v>
      </c>
      <c r="I340" s="43" t="s">
        <v>1807</v>
      </c>
      <c r="J340" s="54" t="s">
        <v>1808</v>
      </c>
      <c r="K340" s="13" t="s">
        <v>919</v>
      </c>
    </row>
    <row r="341" spans="1:11" ht="22.5" customHeight="1" x14ac:dyDescent="0.25">
      <c r="A341" s="61">
        <v>45834</v>
      </c>
      <c r="B341" s="31">
        <v>336</v>
      </c>
      <c r="C341" s="32">
        <v>45848</v>
      </c>
      <c r="D341" s="33">
        <v>0.44097222222222221</v>
      </c>
      <c r="E341" s="13" t="s">
        <v>1574</v>
      </c>
      <c r="F341" s="53" t="s">
        <v>1575</v>
      </c>
      <c r="G341" s="62" t="s">
        <v>736</v>
      </c>
      <c r="H341" s="161" t="s">
        <v>737</v>
      </c>
      <c r="I341" s="43" t="s">
        <v>1572</v>
      </c>
      <c r="J341" s="54" t="s">
        <v>1573</v>
      </c>
      <c r="K341" s="13" t="s">
        <v>1810</v>
      </c>
    </row>
    <row r="342" spans="1:11" ht="22.5" customHeight="1" x14ac:dyDescent="0.25">
      <c r="A342" s="61">
        <v>45834</v>
      </c>
      <c r="B342" s="31">
        <v>337</v>
      </c>
      <c r="C342" s="32">
        <v>45855</v>
      </c>
      <c r="D342" s="33">
        <v>0.40972222222222221</v>
      </c>
      <c r="E342" s="13" t="s">
        <v>1428</v>
      </c>
      <c r="F342" s="53" t="s">
        <v>1809</v>
      </c>
      <c r="G342" s="62" t="s">
        <v>966</v>
      </c>
      <c r="H342" s="161" t="s">
        <v>777</v>
      </c>
      <c r="I342" s="43" t="s">
        <v>1812</v>
      </c>
      <c r="J342" s="54" t="s">
        <v>1811</v>
      </c>
      <c r="K342" s="13" t="s">
        <v>148</v>
      </c>
    </row>
    <row r="343" spans="1:11" ht="22.5" customHeight="1" x14ac:dyDescent="0.25">
      <c r="A343" s="61">
        <v>45834</v>
      </c>
      <c r="B343" s="31">
        <v>338</v>
      </c>
      <c r="C343" s="32">
        <v>45848</v>
      </c>
      <c r="D343" s="33">
        <v>0.44444444444444442</v>
      </c>
      <c r="E343" s="13" t="s">
        <v>1813</v>
      </c>
      <c r="F343" s="53" t="s">
        <v>1814</v>
      </c>
      <c r="G343" s="62" t="s">
        <v>1815</v>
      </c>
      <c r="H343" s="161" t="s">
        <v>1816</v>
      </c>
      <c r="I343" s="43" t="s">
        <v>1817</v>
      </c>
      <c r="J343" s="54" t="s">
        <v>1818</v>
      </c>
      <c r="K343" s="13" t="s">
        <v>1819</v>
      </c>
    </row>
    <row r="344" spans="1:11" ht="22.5" customHeight="1" x14ac:dyDescent="0.25">
      <c r="A344" s="61">
        <v>45835</v>
      </c>
      <c r="B344" s="31">
        <v>339</v>
      </c>
      <c r="C344" s="32">
        <v>45848</v>
      </c>
      <c r="D344" s="33">
        <v>0.44791666666666669</v>
      </c>
      <c r="E344" s="13" t="s">
        <v>1820</v>
      </c>
      <c r="F344" s="53" t="s">
        <v>1821</v>
      </c>
      <c r="G344" s="62" t="s">
        <v>736</v>
      </c>
      <c r="H344" s="161" t="s">
        <v>737</v>
      </c>
      <c r="I344" s="43" t="s">
        <v>316</v>
      </c>
      <c r="J344" s="54" t="s">
        <v>1523</v>
      </c>
      <c r="K344" s="13" t="s">
        <v>42</v>
      </c>
    </row>
    <row r="345" spans="1:11" ht="22.5" customHeight="1" x14ac:dyDescent="0.25">
      <c r="A345" s="61">
        <v>45835</v>
      </c>
      <c r="B345" s="31">
        <v>340</v>
      </c>
      <c r="C345" s="32">
        <v>45848</v>
      </c>
      <c r="D345" s="33">
        <v>0.4513888888888889</v>
      </c>
      <c r="E345" s="13" t="s">
        <v>1822</v>
      </c>
      <c r="F345" s="53" t="s">
        <v>1823</v>
      </c>
      <c r="G345" s="62" t="s">
        <v>736</v>
      </c>
      <c r="H345" s="161" t="s">
        <v>737</v>
      </c>
      <c r="I345" s="43" t="s">
        <v>316</v>
      </c>
      <c r="J345" s="54" t="s">
        <v>1523</v>
      </c>
      <c r="K345" s="13" t="s">
        <v>42</v>
      </c>
    </row>
    <row r="346" spans="1:11" ht="22.5" customHeight="1" x14ac:dyDescent="0.25">
      <c r="A346" s="61">
        <v>45836</v>
      </c>
      <c r="B346" s="31">
        <v>341</v>
      </c>
      <c r="C346" s="32">
        <v>45855</v>
      </c>
      <c r="D346" s="33">
        <v>0.40972222222222221</v>
      </c>
      <c r="E346" s="13" t="s">
        <v>1824</v>
      </c>
      <c r="F346" s="53" t="s">
        <v>1825</v>
      </c>
      <c r="G346" s="62" t="s">
        <v>1826</v>
      </c>
      <c r="H346" s="161" t="s">
        <v>1827</v>
      </c>
      <c r="I346" s="43" t="s">
        <v>1828</v>
      </c>
      <c r="K346" s="13" t="s">
        <v>1430</v>
      </c>
    </row>
    <row r="347" spans="1:11" ht="22.5" hidden="1" customHeight="1" x14ac:dyDescent="0.25">
      <c r="A347" s="69">
        <v>45836</v>
      </c>
      <c r="B347" s="31">
        <v>342</v>
      </c>
      <c r="C347" s="41">
        <v>45855</v>
      </c>
      <c r="D347" s="42">
        <v>0.41319444444444442</v>
      </c>
      <c r="E347" s="13" t="s">
        <v>1829</v>
      </c>
      <c r="F347" s="63" t="s">
        <v>1830</v>
      </c>
      <c r="G347" s="62" t="s">
        <v>966</v>
      </c>
      <c r="H347" s="54" t="s">
        <v>777</v>
      </c>
      <c r="I347" s="43" t="s">
        <v>1831</v>
      </c>
      <c r="J347" s="54" t="s">
        <v>1832</v>
      </c>
      <c r="K347" s="13" t="s">
        <v>919</v>
      </c>
    </row>
    <row r="348" spans="1:11" ht="22.5" customHeight="1" x14ac:dyDescent="0.25">
      <c r="A348" s="61">
        <v>45835</v>
      </c>
      <c r="B348" s="31">
        <v>343</v>
      </c>
      <c r="C348" s="32">
        <v>45855</v>
      </c>
      <c r="D348" s="33">
        <v>0.41666666666666669</v>
      </c>
      <c r="E348" s="13" t="s">
        <v>387</v>
      </c>
      <c r="F348" s="63" t="s">
        <v>1833</v>
      </c>
      <c r="G348" s="62" t="s">
        <v>736</v>
      </c>
      <c r="H348" s="161" t="s">
        <v>737</v>
      </c>
      <c r="I348" s="43" t="s">
        <v>1834</v>
      </c>
      <c r="J348" s="54" t="s">
        <v>1835</v>
      </c>
      <c r="K348" s="13" t="s">
        <v>740</v>
      </c>
    </row>
    <row r="349" spans="1:11" ht="22.5" customHeight="1" x14ac:dyDescent="0.25">
      <c r="A349" s="61">
        <v>45836</v>
      </c>
      <c r="B349" s="31">
        <v>344</v>
      </c>
      <c r="C349" s="32">
        <v>45855</v>
      </c>
      <c r="D349" s="33">
        <v>0.4201388888888889</v>
      </c>
      <c r="E349" s="13" t="s">
        <v>1836</v>
      </c>
      <c r="F349" s="63" t="s">
        <v>1837</v>
      </c>
      <c r="G349" s="62" t="s">
        <v>966</v>
      </c>
      <c r="H349" s="161" t="s">
        <v>777</v>
      </c>
      <c r="I349" s="43" t="s">
        <v>29</v>
      </c>
      <c r="J349" s="54" t="s">
        <v>978</v>
      </c>
      <c r="K349" s="13" t="s">
        <v>919</v>
      </c>
    </row>
    <row r="350" spans="1:11" ht="22.5" customHeight="1" x14ac:dyDescent="0.25">
      <c r="A350" s="61">
        <v>45835</v>
      </c>
      <c r="B350" s="31">
        <v>345</v>
      </c>
      <c r="C350" s="32">
        <v>45855</v>
      </c>
      <c r="D350" s="33">
        <v>0.4236111111111111</v>
      </c>
      <c r="E350" s="13" t="s">
        <v>1838</v>
      </c>
      <c r="F350" s="53" t="s">
        <v>1839</v>
      </c>
      <c r="G350" s="62" t="s">
        <v>966</v>
      </c>
      <c r="H350" s="161" t="s">
        <v>777</v>
      </c>
      <c r="I350" s="43" t="s">
        <v>29</v>
      </c>
      <c r="J350" s="54" t="s">
        <v>978</v>
      </c>
      <c r="K350" s="13" t="s">
        <v>919</v>
      </c>
    </row>
    <row r="351" spans="1:11" ht="22.5" customHeight="1" x14ac:dyDescent="0.25">
      <c r="A351" s="61">
        <v>45835</v>
      </c>
      <c r="B351" s="31">
        <v>346</v>
      </c>
      <c r="C351" s="32">
        <v>45855</v>
      </c>
      <c r="D351" s="33">
        <v>0.42708333333333331</v>
      </c>
      <c r="E351" s="13" t="s">
        <v>1840</v>
      </c>
      <c r="F351" s="63" t="s">
        <v>1841</v>
      </c>
      <c r="G351" s="62" t="s">
        <v>966</v>
      </c>
      <c r="H351" s="160" t="s">
        <v>777</v>
      </c>
      <c r="I351" s="43" t="s">
        <v>29</v>
      </c>
      <c r="J351" s="54" t="s">
        <v>978</v>
      </c>
      <c r="K351" s="13" t="s">
        <v>919</v>
      </c>
    </row>
    <row r="352" spans="1:11" ht="22.5" customHeight="1" x14ac:dyDescent="0.25">
      <c r="A352" s="61">
        <v>45835</v>
      </c>
      <c r="B352" s="31">
        <v>347</v>
      </c>
      <c r="C352" s="32">
        <v>45855</v>
      </c>
      <c r="D352" s="33">
        <v>0.43055555555555558</v>
      </c>
      <c r="E352" s="13" t="s">
        <v>1842</v>
      </c>
      <c r="F352" s="63" t="s">
        <v>1843</v>
      </c>
      <c r="G352" s="62" t="s">
        <v>966</v>
      </c>
      <c r="H352" s="160" t="s">
        <v>777</v>
      </c>
      <c r="I352" s="43" t="s">
        <v>29</v>
      </c>
      <c r="J352" s="54" t="s">
        <v>978</v>
      </c>
      <c r="K352" s="13" t="s">
        <v>919</v>
      </c>
    </row>
    <row r="353" spans="1:58" ht="22.5" customHeight="1" x14ac:dyDescent="0.25">
      <c r="A353" s="61">
        <v>45835</v>
      </c>
      <c r="B353" s="31">
        <v>348</v>
      </c>
      <c r="C353" s="32">
        <v>45855</v>
      </c>
      <c r="D353" s="33">
        <v>0.43402777777777779</v>
      </c>
      <c r="E353" s="13" t="s">
        <v>1844</v>
      </c>
      <c r="F353" s="63" t="s">
        <v>1845</v>
      </c>
      <c r="G353" s="62" t="s">
        <v>925</v>
      </c>
      <c r="H353" s="160" t="s">
        <v>926</v>
      </c>
      <c r="I353" s="43" t="s">
        <v>1831</v>
      </c>
      <c r="J353" s="54" t="s">
        <v>1832</v>
      </c>
      <c r="K353" s="13" t="s">
        <v>1430</v>
      </c>
    </row>
    <row r="354" spans="1:58" ht="22.5" customHeight="1" x14ac:dyDescent="0.25">
      <c r="A354" s="61">
        <v>45838</v>
      </c>
      <c r="B354" s="31">
        <v>349</v>
      </c>
      <c r="C354" s="32">
        <v>45855</v>
      </c>
      <c r="D354" s="33">
        <v>0.4375</v>
      </c>
      <c r="E354" s="13" t="s">
        <v>1846</v>
      </c>
      <c r="F354" s="63" t="s">
        <v>1847</v>
      </c>
      <c r="G354" s="62" t="s">
        <v>718</v>
      </c>
      <c r="H354" s="160" t="s">
        <v>719</v>
      </c>
      <c r="I354" s="43" t="s">
        <v>727</v>
      </c>
      <c r="J354" s="54" t="s">
        <v>728</v>
      </c>
      <c r="K354" s="13" t="s">
        <v>1028</v>
      </c>
    </row>
    <row r="355" spans="1:58" ht="22.5" customHeight="1" x14ac:dyDescent="0.25">
      <c r="A355" s="61">
        <v>45838</v>
      </c>
      <c r="B355" s="31">
        <v>350</v>
      </c>
      <c r="C355" s="32">
        <v>45855</v>
      </c>
      <c r="D355" s="33">
        <v>0.44097222222222221</v>
      </c>
      <c r="E355" s="13" t="s">
        <v>1848</v>
      </c>
      <c r="F355" s="63" t="s">
        <v>1849</v>
      </c>
      <c r="G355" s="62"/>
      <c r="H355" s="160"/>
      <c r="I355" s="43" t="s">
        <v>1850</v>
      </c>
      <c r="J355" s="54" t="s">
        <v>1201</v>
      </c>
      <c r="K355" s="13" t="s">
        <v>90</v>
      </c>
    </row>
    <row r="356" spans="1:58" ht="22.5" customHeight="1" x14ac:dyDescent="0.25">
      <c r="A356" s="61">
        <v>45838</v>
      </c>
      <c r="B356" s="31">
        <v>351</v>
      </c>
      <c r="C356" s="32">
        <v>45855</v>
      </c>
      <c r="D356" s="33">
        <v>0.44444444444444442</v>
      </c>
      <c r="E356" s="13" t="s">
        <v>1851</v>
      </c>
      <c r="F356" s="63" t="s">
        <v>1852</v>
      </c>
      <c r="G356" s="62" t="s">
        <v>800</v>
      </c>
      <c r="H356" s="160" t="s">
        <v>796</v>
      </c>
      <c r="I356" s="43" t="s">
        <v>1853</v>
      </c>
      <c r="J356" s="54" t="s">
        <v>1854</v>
      </c>
      <c r="K356" s="13" t="s">
        <v>782</v>
      </c>
    </row>
    <row r="357" spans="1:58" ht="22.5" customHeight="1" x14ac:dyDescent="0.25">
      <c r="A357" s="76">
        <v>45839</v>
      </c>
      <c r="B357" s="31">
        <v>352</v>
      </c>
      <c r="C357" s="32">
        <v>45855</v>
      </c>
      <c r="D357" s="33">
        <v>0.44791666666666669</v>
      </c>
      <c r="E357" s="13" t="s">
        <v>923</v>
      </c>
      <c r="F357" s="63" t="s">
        <v>924</v>
      </c>
      <c r="G357" s="62" t="s">
        <v>1769</v>
      </c>
      <c r="H357" s="160" t="s">
        <v>784</v>
      </c>
      <c r="I357" s="43" t="s">
        <v>1855</v>
      </c>
      <c r="J357" s="54" t="s">
        <v>928</v>
      </c>
      <c r="K357" s="13" t="s">
        <v>1856</v>
      </c>
    </row>
    <row r="358" spans="1:58" ht="22.5" customHeight="1" x14ac:dyDescent="0.25">
      <c r="A358" s="77">
        <v>45839</v>
      </c>
      <c r="B358" s="31">
        <v>353</v>
      </c>
      <c r="C358" s="32">
        <v>45855</v>
      </c>
      <c r="D358" s="33">
        <v>0.4513888888888889</v>
      </c>
      <c r="E358" s="13" t="s">
        <v>1857</v>
      </c>
      <c r="F358" s="63" t="s">
        <v>1858</v>
      </c>
      <c r="G358" s="62" t="s">
        <v>879</v>
      </c>
      <c r="H358" s="160" t="s">
        <v>880</v>
      </c>
      <c r="I358" s="43" t="s">
        <v>102</v>
      </c>
      <c r="J358" s="54" t="s">
        <v>1070</v>
      </c>
      <c r="K358" s="13" t="s">
        <v>881</v>
      </c>
    </row>
    <row r="359" spans="1:58" ht="22.5" customHeight="1" x14ac:dyDescent="0.25">
      <c r="A359" s="77">
        <v>45839</v>
      </c>
      <c r="B359" s="31">
        <v>354</v>
      </c>
      <c r="C359" s="32">
        <v>45855</v>
      </c>
      <c r="D359" s="33">
        <v>0.4548611111111111</v>
      </c>
      <c r="E359" s="13" t="s">
        <v>1859</v>
      </c>
      <c r="F359" s="63" t="s">
        <v>1860</v>
      </c>
      <c r="G359" s="62" t="s">
        <v>32</v>
      </c>
      <c r="H359" s="160" t="s">
        <v>1475</v>
      </c>
      <c r="I359" s="43" t="s">
        <v>118</v>
      </c>
      <c r="J359" s="54" t="s">
        <v>764</v>
      </c>
      <c r="K359" s="13" t="s">
        <v>425</v>
      </c>
    </row>
    <row r="360" spans="1:58" ht="22.5" customHeight="1" x14ac:dyDescent="0.25">
      <c r="A360" s="77">
        <v>45840</v>
      </c>
      <c r="B360" s="31">
        <v>355</v>
      </c>
      <c r="C360" s="32">
        <v>45855</v>
      </c>
      <c r="D360" s="33">
        <v>0.45833333333333331</v>
      </c>
      <c r="E360" s="13" t="s">
        <v>1861</v>
      </c>
      <c r="F360" s="63" t="s">
        <v>1670</v>
      </c>
      <c r="G360" s="62" t="s">
        <v>879</v>
      </c>
      <c r="H360" s="160" t="s">
        <v>880</v>
      </c>
      <c r="I360" s="43" t="s">
        <v>102</v>
      </c>
      <c r="J360" s="54" t="s">
        <v>1070</v>
      </c>
      <c r="K360" s="13" t="s">
        <v>1136</v>
      </c>
    </row>
    <row r="361" spans="1:58" ht="22.5" customHeight="1" x14ac:dyDescent="0.25">
      <c r="A361" s="77">
        <v>45840</v>
      </c>
      <c r="B361" s="31">
        <v>356</v>
      </c>
      <c r="C361" s="32">
        <v>45855</v>
      </c>
      <c r="D361" s="33">
        <v>0.5</v>
      </c>
      <c r="E361" s="13" t="s">
        <v>1862</v>
      </c>
      <c r="F361" s="53" t="s">
        <v>1863</v>
      </c>
      <c r="G361" s="62" t="s">
        <v>1769</v>
      </c>
      <c r="H361" s="161" t="s">
        <v>784</v>
      </c>
      <c r="I361" s="43" t="s">
        <v>169</v>
      </c>
      <c r="J361" s="54" t="s">
        <v>1864</v>
      </c>
      <c r="K361" s="13" t="s">
        <v>1856</v>
      </c>
    </row>
    <row r="362" spans="1:58" ht="28.5" customHeight="1" x14ac:dyDescent="0.25">
      <c r="A362" s="61">
        <v>45840</v>
      </c>
      <c r="B362" s="31">
        <v>357</v>
      </c>
      <c r="C362" s="32">
        <v>45855</v>
      </c>
      <c r="D362" s="33">
        <v>0.50347222222222221</v>
      </c>
      <c r="E362" s="13" t="s">
        <v>1865</v>
      </c>
      <c r="F362" s="62" t="s">
        <v>1866</v>
      </c>
      <c r="G362" s="62" t="s">
        <v>854</v>
      </c>
      <c r="H362" s="160" t="s">
        <v>855</v>
      </c>
      <c r="I362" s="43" t="s">
        <v>118</v>
      </c>
      <c r="J362" s="54" t="s">
        <v>764</v>
      </c>
      <c r="K362" s="13" t="s">
        <v>254</v>
      </c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</row>
    <row r="363" spans="1:58" ht="22.5" customHeight="1" x14ac:dyDescent="0.25">
      <c r="A363" s="61">
        <v>45841</v>
      </c>
      <c r="B363" s="31">
        <v>358</v>
      </c>
      <c r="C363" s="32">
        <v>45855</v>
      </c>
      <c r="D363" s="33">
        <v>0.50694444444444442</v>
      </c>
      <c r="E363" s="13" t="s">
        <v>1867</v>
      </c>
      <c r="F363" s="53" t="s">
        <v>1868</v>
      </c>
      <c r="G363" s="62" t="s">
        <v>736</v>
      </c>
      <c r="H363" s="160" t="s">
        <v>737</v>
      </c>
      <c r="I363" s="43" t="s">
        <v>1869</v>
      </c>
      <c r="J363" s="54" t="s">
        <v>1870</v>
      </c>
      <c r="K363" s="13" t="s">
        <v>886</v>
      </c>
    </row>
    <row r="364" spans="1:58" ht="22.5" customHeight="1" x14ac:dyDescent="0.25">
      <c r="A364" s="61">
        <v>45844</v>
      </c>
      <c r="B364" s="31">
        <v>359</v>
      </c>
      <c r="C364" s="32">
        <v>45862</v>
      </c>
      <c r="D364" s="33">
        <v>0.39583333333333331</v>
      </c>
      <c r="E364" s="13" t="s">
        <v>1551</v>
      </c>
      <c r="F364" s="63" t="s">
        <v>1552</v>
      </c>
      <c r="G364" s="62" t="s">
        <v>1381</v>
      </c>
      <c r="H364" s="160" t="s">
        <v>1382</v>
      </c>
      <c r="I364" s="43" t="s">
        <v>1553</v>
      </c>
      <c r="J364" s="54" t="s">
        <v>1554</v>
      </c>
      <c r="K364" s="13" t="s">
        <v>42</v>
      </c>
    </row>
    <row r="365" spans="1:58" ht="22.5" customHeight="1" x14ac:dyDescent="0.25">
      <c r="A365" s="61">
        <v>45842</v>
      </c>
      <c r="B365" s="31">
        <v>360</v>
      </c>
      <c r="C365" s="32">
        <v>45862</v>
      </c>
      <c r="D365" s="33">
        <v>0.39930555555555558</v>
      </c>
      <c r="E365" s="13" t="s">
        <v>1871</v>
      </c>
      <c r="F365" s="63" t="s">
        <v>1872</v>
      </c>
      <c r="G365" s="62" t="s">
        <v>854</v>
      </c>
      <c r="H365" s="160" t="s">
        <v>855</v>
      </c>
      <c r="I365" s="43" t="s">
        <v>220</v>
      </c>
      <c r="J365" s="54" t="s">
        <v>1303</v>
      </c>
      <c r="K365" s="13" t="s">
        <v>66</v>
      </c>
    </row>
    <row r="366" spans="1:58" ht="22.5" customHeight="1" x14ac:dyDescent="0.25">
      <c r="A366" s="61">
        <v>45846</v>
      </c>
      <c r="B366" s="31">
        <v>361</v>
      </c>
      <c r="C366" s="32">
        <v>45862</v>
      </c>
      <c r="D366" s="33">
        <v>0.40277777777777779</v>
      </c>
      <c r="E366" s="13" t="s">
        <v>1873</v>
      </c>
      <c r="F366" s="63" t="s">
        <v>1874</v>
      </c>
      <c r="G366" s="62" t="s">
        <v>1875</v>
      </c>
      <c r="H366" s="160" t="s">
        <v>1876</v>
      </c>
      <c r="I366" s="43" t="s">
        <v>1599</v>
      </c>
      <c r="J366" s="54" t="s">
        <v>1600</v>
      </c>
      <c r="K366" s="13" t="s">
        <v>90</v>
      </c>
    </row>
    <row r="367" spans="1:58" ht="22.5" customHeight="1" x14ac:dyDescent="0.25">
      <c r="A367" s="61">
        <v>45846</v>
      </c>
      <c r="B367" s="31">
        <v>362</v>
      </c>
      <c r="C367" s="32" t="s">
        <v>1877</v>
      </c>
      <c r="D367" s="33">
        <v>0.40625</v>
      </c>
      <c r="E367" s="13" t="s">
        <v>1878</v>
      </c>
      <c r="F367" s="63" t="s">
        <v>1879</v>
      </c>
      <c r="G367" s="62"/>
      <c r="H367" s="160"/>
      <c r="I367" s="43" t="s">
        <v>1880</v>
      </c>
      <c r="J367" s="54" t="s">
        <v>1688</v>
      </c>
      <c r="K367" s="13" t="s">
        <v>1881</v>
      </c>
    </row>
    <row r="368" spans="1:58" ht="22.5" customHeight="1" x14ac:dyDescent="0.25">
      <c r="A368" s="77">
        <v>45847</v>
      </c>
      <c r="B368" s="31">
        <v>363</v>
      </c>
      <c r="C368" s="32">
        <v>45862</v>
      </c>
      <c r="D368" s="33">
        <v>0.40972222222222221</v>
      </c>
      <c r="E368" s="13" t="s">
        <v>1882</v>
      </c>
      <c r="F368" s="63" t="s">
        <v>1883</v>
      </c>
      <c r="G368" s="62" t="s">
        <v>1884</v>
      </c>
      <c r="H368" s="160" t="s">
        <v>1885</v>
      </c>
      <c r="I368" s="43" t="s">
        <v>1886</v>
      </c>
      <c r="J368" s="54" t="s">
        <v>1887</v>
      </c>
      <c r="K368" s="13" t="s">
        <v>1888</v>
      </c>
    </row>
    <row r="369" spans="1:11" ht="22.5" customHeight="1" x14ac:dyDescent="0.25">
      <c r="A369" s="77">
        <v>45853</v>
      </c>
      <c r="B369" s="31">
        <v>364</v>
      </c>
      <c r="C369" s="32">
        <v>45883</v>
      </c>
      <c r="D369" s="33">
        <v>0.39583333333333331</v>
      </c>
      <c r="E369" s="13" t="s">
        <v>1917</v>
      </c>
      <c r="F369" s="63" t="s">
        <v>1918</v>
      </c>
      <c r="G369" s="62" t="s">
        <v>1919</v>
      </c>
      <c r="H369" s="160" t="s">
        <v>1920</v>
      </c>
      <c r="I369" s="43" t="s">
        <v>1921</v>
      </c>
      <c r="K369" s="13" t="s">
        <v>881</v>
      </c>
    </row>
    <row r="370" spans="1:11" ht="22.5" customHeight="1" x14ac:dyDescent="0.25">
      <c r="A370" s="61">
        <v>45854</v>
      </c>
      <c r="B370" s="31">
        <v>365</v>
      </c>
      <c r="C370" s="32">
        <v>45869</v>
      </c>
      <c r="D370" s="33">
        <v>0.39583333333333331</v>
      </c>
      <c r="E370" s="13" t="s">
        <v>1889</v>
      </c>
      <c r="F370" s="63" t="s">
        <v>1890</v>
      </c>
      <c r="G370" s="62"/>
      <c r="H370" s="160"/>
      <c r="I370" s="43" t="s">
        <v>1560</v>
      </c>
      <c r="J370" s="54" t="s">
        <v>1027</v>
      </c>
      <c r="K370" s="13" t="s">
        <v>71</v>
      </c>
    </row>
    <row r="371" spans="1:11" ht="22.5" customHeight="1" x14ac:dyDescent="0.25">
      <c r="A371" s="61">
        <v>45855</v>
      </c>
      <c r="B371" s="31">
        <v>366</v>
      </c>
      <c r="C371" s="32">
        <v>45869</v>
      </c>
      <c r="D371" s="33">
        <v>0.39930555555555558</v>
      </c>
      <c r="E371" s="13" t="s">
        <v>1891</v>
      </c>
      <c r="F371" s="63" t="s">
        <v>1771</v>
      </c>
      <c r="G371" s="62" t="s">
        <v>768</v>
      </c>
      <c r="H371" s="160" t="s">
        <v>769</v>
      </c>
      <c r="I371" s="43" t="s">
        <v>1892</v>
      </c>
      <c r="J371" s="54" t="s">
        <v>1893</v>
      </c>
      <c r="K371" s="13" t="s">
        <v>71</v>
      </c>
    </row>
    <row r="372" spans="1:11" ht="22.5" customHeight="1" x14ac:dyDescent="0.25">
      <c r="A372" s="61">
        <v>45856</v>
      </c>
      <c r="B372" s="31">
        <v>367</v>
      </c>
      <c r="C372" s="32">
        <v>45876</v>
      </c>
      <c r="D372" s="33">
        <v>0.39930555555555558</v>
      </c>
      <c r="E372" s="13" t="s">
        <v>45</v>
      </c>
      <c r="F372" s="63" t="s">
        <v>1894</v>
      </c>
      <c r="G372" s="62" t="s">
        <v>718</v>
      </c>
      <c r="H372" s="160" t="s">
        <v>719</v>
      </c>
      <c r="I372" s="43" t="s">
        <v>1895</v>
      </c>
      <c r="J372" s="54" t="s">
        <v>1896</v>
      </c>
      <c r="K372" s="13" t="s">
        <v>254</v>
      </c>
    </row>
    <row r="373" spans="1:11" ht="22.5" customHeight="1" x14ac:dyDescent="0.25">
      <c r="A373" s="61">
        <v>45856</v>
      </c>
      <c r="B373" s="31">
        <v>368</v>
      </c>
      <c r="C373" s="32">
        <v>45876</v>
      </c>
      <c r="D373" s="33">
        <v>0.40277777777777779</v>
      </c>
      <c r="E373" s="13" t="s">
        <v>1897</v>
      </c>
      <c r="F373" s="63" t="s">
        <v>1898</v>
      </c>
      <c r="G373" s="62" t="s">
        <v>1899</v>
      </c>
      <c r="H373" s="160" t="s">
        <v>1900</v>
      </c>
      <c r="I373" s="43" t="s">
        <v>1901</v>
      </c>
      <c r="J373" s="54" t="s">
        <v>1902</v>
      </c>
      <c r="K373" s="13" t="s">
        <v>1903</v>
      </c>
    </row>
    <row r="374" spans="1:11" ht="22.5" customHeight="1" x14ac:dyDescent="0.25">
      <c r="A374" s="61">
        <v>45857</v>
      </c>
      <c r="B374" s="31">
        <v>369</v>
      </c>
      <c r="C374" s="32">
        <v>45876</v>
      </c>
      <c r="D374" s="33">
        <v>0.40625</v>
      </c>
      <c r="E374" s="13" t="s">
        <v>1904</v>
      </c>
      <c r="F374" s="63" t="s">
        <v>1905</v>
      </c>
      <c r="G374" s="62" t="s">
        <v>1906</v>
      </c>
      <c r="H374" s="160" t="s">
        <v>1907</v>
      </c>
      <c r="I374" s="43" t="s">
        <v>1908</v>
      </c>
      <c r="J374" s="54" t="s">
        <v>825</v>
      </c>
      <c r="K374" s="13" t="s">
        <v>317</v>
      </c>
    </row>
    <row r="375" spans="1:11" ht="22.5" customHeight="1" x14ac:dyDescent="0.25">
      <c r="A375" s="61">
        <v>45856</v>
      </c>
      <c r="B375" s="31">
        <v>370</v>
      </c>
      <c r="C375" s="32">
        <v>45876</v>
      </c>
      <c r="D375" s="33">
        <v>0.40972222222222221</v>
      </c>
      <c r="E375" s="13" t="s">
        <v>1909</v>
      </c>
      <c r="F375" s="63" t="s">
        <v>1910</v>
      </c>
      <c r="G375" s="62" t="s">
        <v>718</v>
      </c>
      <c r="H375" s="160" t="s">
        <v>719</v>
      </c>
      <c r="I375" s="43" t="s">
        <v>1911</v>
      </c>
      <c r="J375" s="54" t="s">
        <v>1912</v>
      </c>
      <c r="K375" s="13" t="s">
        <v>90</v>
      </c>
    </row>
    <row r="376" spans="1:11" ht="22.5" hidden="1" customHeight="1" x14ac:dyDescent="0.25">
      <c r="A376" s="61">
        <v>45855</v>
      </c>
      <c r="B376" s="31">
        <v>371</v>
      </c>
      <c r="C376" s="41">
        <v>45876</v>
      </c>
      <c r="D376" s="42">
        <v>0.41319444444444442</v>
      </c>
      <c r="E376" s="13" t="s">
        <v>1913</v>
      </c>
      <c r="F376" s="63" t="s">
        <v>1914</v>
      </c>
      <c r="G376" s="62" t="s">
        <v>854</v>
      </c>
      <c r="H376" s="62" t="s">
        <v>855</v>
      </c>
      <c r="I376" s="43" t="s">
        <v>1915</v>
      </c>
      <c r="J376" s="54" t="s">
        <v>1916</v>
      </c>
      <c r="K376" s="13" t="s">
        <v>1251</v>
      </c>
    </row>
    <row r="377" spans="1:11" ht="22.5" customHeight="1" x14ac:dyDescent="0.25">
      <c r="A377" s="61">
        <v>45861</v>
      </c>
      <c r="B377" s="31">
        <v>372</v>
      </c>
      <c r="C377" s="32">
        <v>45883</v>
      </c>
      <c r="D377" s="33">
        <v>0.39930555555555558</v>
      </c>
      <c r="E377" s="13" t="s">
        <v>1922</v>
      </c>
      <c r="F377" s="63" t="s">
        <v>1923</v>
      </c>
      <c r="G377" s="62" t="s">
        <v>1411</v>
      </c>
      <c r="H377" s="160" t="s">
        <v>1412</v>
      </c>
      <c r="I377" s="43" t="s">
        <v>1924</v>
      </c>
      <c r="K377" s="13" t="s">
        <v>20</v>
      </c>
    </row>
    <row r="378" spans="1:11" ht="22.5" customHeight="1" x14ac:dyDescent="0.25">
      <c r="A378" s="61">
        <v>45861</v>
      </c>
      <c r="B378" s="31">
        <v>373</v>
      </c>
      <c r="C378" s="32">
        <v>45876</v>
      </c>
      <c r="D378" s="33">
        <v>0.41666666666666669</v>
      </c>
      <c r="E378" s="13" t="s">
        <v>1925</v>
      </c>
      <c r="F378" s="63" t="s">
        <v>1926</v>
      </c>
      <c r="G378" s="62" t="s">
        <v>718</v>
      </c>
      <c r="H378" s="160" t="s">
        <v>719</v>
      </c>
      <c r="I378" s="43" t="s">
        <v>807</v>
      </c>
      <c r="J378" s="54" t="s">
        <v>808</v>
      </c>
      <c r="K378" s="13" t="s">
        <v>1028</v>
      </c>
    </row>
    <row r="379" spans="1:11" ht="22.5" customHeight="1" x14ac:dyDescent="0.25">
      <c r="A379" s="61">
        <v>45862</v>
      </c>
      <c r="B379" s="31">
        <v>374</v>
      </c>
      <c r="C379" s="32">
        <v>45876</v>
      </c>
      <c r="D379" s="33">
        <v>0.4201388888888889</v>
      </c>
      <c r="E379" s="13" t="s">
        <v>1927</v>
      </c>
      <c r="F379" s="63" t="s">
        <v>1928</v>
      </c>
      <c r="G379" s="62" t="s">
        <v>736</v>
      </c>
      <c r="H379" s="160" t="s">
        <v>737</v>
      </c>
      <c r="I379" s="43" t="s">
        <v>100</v>
      </c>
      <c r="J379" s="54" t="s">
        <v>833</v>
      </c>
      <c r="K379" s="13" t="s">
        <v>42</v>
      </c>
    </row>
    <row r="380" spans="1:11" ht="22.5" customHeight="1" x14ac:dyDescent="0.25">
      <c r="A380" s="61">
        <v>45862</v>
      </c>
      <c r="B380" s="31">
        <v>375</v>
      </c>
      <c r="C380" s="32">
        <v>45876</v>
      </c>
      <c r="D380" s="33">
        <v>0.4236111111111111</v>
      </c>
      <c r="E380" s="13" t="s">
        <v>1929</v>
      </c>
      <c r="F380" s="63" t="s">
        <v>1930</v>
      </c>
      <c r="G380" s="62" t="s">
        <v>736</v>
      </c>
      <c r="H380" s="160" t="s">
        <v>737</v>
      </c>
      <c r="I380" s="43" t="s">
        <v>102</v>
      </c>
      <c r="J380" s="54" t="s">
        <v>1070</v>
      </c>
      <c r="K380" s="13" t="s">
        <v>1430</v>
      </c>
    </row>
    <row r="381" spans="1:11" ht="22.5" customHeight="1" x14ac:dyDescent="0.25">
      <c r="A381" s="61">
        <v>45862</v>
      </c>
      <c r="B381" s="31">
        <v>376</v>
      </c>
      <c r="C381" s="32">
        <v>45876</v>
      </c>
      <c r="D381" s="33">
        <v>0.42708333333333331</v>
      </c>
      <c r="E381" s="13" t="s">
        <v>1931</v>
      </c>
      <c r="F381" s="63" t="s">
        <v>1932</v>
      </c>
      <c r="G381" s="62" t="s">
        <v>736</v>
      </c>
      <c r="H381" s="160" t="s">
        <v>737</v>
      </c>
      <c r="I381" s="43" t="s">
        <v>1933</v>
      </c>
      <c r="J381" s="54" t="s">
        <v>1934</v>
      </c>
      <c r="K381" s="13" t="s">
        <v>71</v>
      </c>
    </row>
    <row r="382" spans="1:11" ht="22.5" customHeight="1" x14ac:dyDescent="0.25">
      <c r="A382" s="61">
        <v>45862</v>
      </c>
      <c r="B382" s="31">
        <v>377</v>
      </c>
      <c r="C382" s="32">
        <v>45876</v>
      </c>
      <c r="D382" s="33">
        <v>0.43055555555555558</v>
      </c>
      <c r="E382" s="13" t="s">
        <v>1935</v>
      </c>
      <c r="F382" s="63" t="s">
        <v>1936</v>
      </c>
      <c r="G382" s="62" t="s">
        <v>736</v>
      </c>
      <c r="H382" s="160" t="s">
        <v>737</v>
      </c>
      <c r="I382" s="43" t="s">
        <v>1937</v>
      </c>
      <c r="J382" s="54" t="s">
        <v>1938</v>
      </c>
      <c r="K382" s="13" t="s">
        <v>1489</v>
      </c>
    </row>
    <row r="383" spans="1:11" ht="38.25" customHeight="1" x14ac:dyDescent="0.25">
      <c r="A383" s="61">
        <v>45862</v>
      </c>
      <c r="B383" s="31">
        <v>378</v>
      </c>
      <c r="C383" s="32">
        <v>45876</v>
      </c>
      <c r="D383" s="33">
        <v>0.43402777777777779</v>
      </c>
      <c r="E383" s="13" t="s">
        <v>1939</v>
      </c>
      <c r="F383" s="63" t="s">
        <v>1940</v>
      </c>
      <c r="G383" s="62" t="s">
        <v>736</v>
      </c>
      <c r="H383" s="160" t="s">
        <v>737</v>
      </c>
      <c r="I383" s="43" t="s">
        <v>1942</v>
      </c>
      <c r="J383" s="54" t="s">
        <v>1941</v>
      </c>
      <c r="K383" s="13" t="s">
        <v>42</v>
      </c>
    </row>
    <row r="384" spans="1:11" ht="22.5" customHeight="1" x14ac:dyDescent="0.25">
      <c r="A384" s="61">
        <v>45862</v>
      </c>
      <c r="B384" s="31">
        <v>379</v>
      </c>
      <c r="C384" s="32">
        <v>45876</v>
      </c>
      <c r="D384" s="33">
        <v>0.4375</v>
      </c>
      <c r="E384" s="13" t="s">
        <v>1943</v>
      </c>
      <c r="F384" s="63" t="s">
        <v>1944</v>
      </c>
      <c r="G384" s="62" t="s">
        <v>1327</v>
      </c>
      <c r="H384" s="160" t="s">
        <v>1328</v>
      </c>
      <c r="I384" s="43" t="s">
        <v>1945</v>
      </c>
      <c r="J384" s="54" t="s">
        <v>1946</v>
      </c>
      <c r="K384" s="13" t="s">
        <v>1819</v>
      </c>
    </row>
    <row r="385" spans="1:11" ht="22.5" customHeight="1" x14ac:dyDescent="0.25">
      <c r="A385" s="61">
        <v>45862</v>
      </c>
      <c r="B385" s="31">
        <v>380</v>
      </c>
      <c r="C385" s="32">
        <v>45876</v>
      </c>
      <c r="D385" s="33">
        <v>0.44097222222222221</v>
      </c>
      <c r="E385" s="13" t="s">
        <v>1947</v>
      </c>
      <c r="F385" s="63" t="s">
        <v>1948</v>
      </c>
      <c r="G385" s="62" t="s">
        <v>718</v>
      </c>
      <c r="H385" s="160" t="s">
        <v>719</v>
      </c>
      <c r="I385" s="43" t="s">
        <v>539</v>
      </c>
      <c r="J385" s="54" t="s">
        <v>1949</v>
      </c>
      <c r="K385" s="13" t="s">
        <v>254</v>
      </c>
    </row>
    <row r="386" spans="1:11" ht="22.5" customHeight="1" x14ac:dyDescent="0.25">
      <c r="A386" s="61">
        <v>45863</v>
      </c>
      <c r="B386" s="31">
        <v>381</v>
      </c>
      <c r="C386" s="32">
        <v>45883</v>
      </c>
      <c r="D386" s="33">
        <v>0.40277777777777779</v>
      </c>
      <c r="E386" s="13" t="s">
        <v>1950</v>
      </c>
      <c r="F386" s="63" t="s">
        <v>1951</v>
      </c>
      <c r="G386" s="62"/>
      <c r="H386" s="160"/>
      <c r="I386" s="43" t="s">
        <v>1952</v>
      </c>
      <c r="J386" s="54" t="s">
        <v>1953</v>
      </c>
      <c r="K386" s="13" t="s">
        <v>42</v>
      </c>
    </row>
    <row r="387" spans="1:11" ht="22.5" customHeight="1" x14ac:dyDescent="0.25">
      <c r="A387" s="61">
        <v>45863</v>
      </c>
      <c r="B387" s="31">
        <v>382</v>
      </c>
      <c r="C387" s="32">
        <v>45876</v>
      </c>
      <c r="D387" s="33">
        <v>0.44444444444444442</v>
      </c>
      <c r="E387" s="13" t="s">
        <v>1954</v>
      </c>
      <c r="F387" s="63" t="s">
        <v>1955</v>
      </c>
      <c r="G387" s="62" t="s">
        <v>736</v>
      </c>
      <c r="H387" s="160" t="s">
        <v>737</v>
      </c>
      <c r="I387" s="43" t="s">
        <v>1181</v>
      </c>
      <c r="J387" s="54" t="s">
        <v>1182</v>
      </c>
      <c r="K387" s="13" t="s">
        <v>760</v>
      </c>
    </row>
    <row r="388" spans="1:11" ht="22.5" customHeight="1" x14ac:dyDescent="0.25">
      <c r="A388" s="61">
        <v>45863</v>
      </c>
      <c r="B388" s="31">
        <v>383</v>
      </c>
      <c r="C388" s="32">
        <v>45883</v>
      </c>
      <c r="D388" s="33">
        <v>0.40625</v>
      </c>
      <c r="E388" s="13" t="s">
        <v>1750</v>
      </c>
      <c r="F388" s="63" t="s">
        <v>1751</v>
      </c>
      <c r="G388" s="62" t="s">
        <v>1752</v>
      </c>
      <c r="H388" s="160" t="s">
        <v>1753</v>
      </c>
      <c r="I388" s="43" t="s">
        <v>118</v>
      </c>
      <c r="J388" s="54" t="s">
        <v>764</v>
      </c>
      <c r="K388" s="13" t="s">
        <v>1956</v>
      </c>
    </row>
    <row r="389" spans="1:11" ht="22.5" customHeight="1" x14ac:dyDescent="0.25">
      <c r="A389" s="61">
        <v>45867</v>
      </c>
      <c r="B389" s="31">
        <v>384</v>
      </c>
      <c r="C389" s="32">
        <v>45883</v>
      </c>
      <c r="D389" s="33">
        <v>0.40972222222222221</v>
      </c>
      <c r="E389" s="13" t="s">
        <v>2008</v>
      </c>
      <c r="F389" s="63" t="s">
        <v>1957</v>
      </c>
      <c r="G389" s="62" t="s">
        <v>879</v>
      </c>
      <c r="H389" s="160" t="s">
        <v>880</v>
      </c>
      <c r="I389" s="43" t="s">
        <v>102</v>
      </c>
      <c r="J389" s="54" t="s">
        <v>1070</v>
      </c>
      <c r="K389" s="13" t="s">
        <v>881</v>
      </c>
    </row>
    <row r="390" spans="1:11" ht="22.5" customHeight="1" x14ac:dyDescent="0.25">
      <c r="A390" s="61">
        <v>45869</v>
      </c>
      <c r="B390" s="31">
        <v>385</v>
      </c>
      <c r="C390" s="32">
        <v>45883</v>
      </c>
      <c r="D390" s="33">
        <v>0.41319444444444442</v>
      </c>
      <c r="E390" s="13" t="s">
        <v>1958</v>
      </c>
      <c r="F390" s="63" t="s">
        <v>1960</v>
      </c>
      <c r="G390" s="62" t="s">
        <v>879</v>
      </c>
      <c r="H390" s="160" t="s">
        <v>880</v>
      </c>
      <c r="I390" s="43" t="s">
        <v>102</v>
      </c>
      <c r="J390" s="54" t="s">
        <v>1070</v>
      </c>
      <c r="K390" s="13" t="s">
        <v>881</v>
      </c>
    </row>
    <row r="391" spans="1:11" ht="22.5" customHeight="1" x14ac:dyDescent="0.25">
      <c r="A391" s="61">
        <v>45869</v>
      </c>
      <c r="B391" s="31">
        <v>386</v>
      </c>
      <c r="C391" s="32">
        <v>45883</v>
      </c>
      <c r="D391" s="33">
        <v>0.41666666666666669</v>
      </c>
      <c r="E391" s="13" t="s">
        <v>1959</v>
      </c>
      <c r="F391" s="63" t="s">
        <v>1961</v>
      </c>
      <c r="G391" s="62" t="s">
        <v>879</v>
      </c>
      <c r="H391" s="160" t="s">
        <v>880</v>
      </c>
      <c r="I391" s="43" t="s">
        <v>102</v>
      </c>
      <c r="J391" s="54" t="s">
        <v>1070</v>
      </c>
      <c r="K391" s="13" t="s">
        <v>881</v>
      </c>
    </row>
    <row r="392" spans="1:11" ht="60.75" customHeight="1" x14ac:dyDescent="0.25">
      <c r="A392" s="61">
        <v>45870</v>
      </c>
      <c r="B392" s="31">
        <v>387</v>
      </c>
      <c r="C392" s="32">
        <v>45883</v>
      </c>
      <c r="D392" s="33">
        <v>0.4201388888888889</v>
      </c>
      <c r="E392" s="13" t="s">
        <v>1962</v>
      </c>
      <c r="F392" s="62" t="s">
        <v>1963</v>
      </c>
      <c r="G392" s="62" t="s">
        <v>839</v>
      </c>
      <c r="H392" s="161" t="s">
        <v>840</v>
      </c>
      <c r="I392" s="43" t="s">
        <v>1964</v>
      </c>
      <c r="J392" s="54" t="s">
        <v>1965</v>
      </c>
      <c r="K392" s="13" t="s">
        <v>20</v>
      </c>
    </row>
    <row r="393" spans="1:11" ht="22.5" customHeight="1" x14ac:dyDescent="0.25">
      <c r="A393" s="61">
        <v>45870</v>
      </c>
      <c r="B393" s="31">
        <v>388</v>
      </c>
      <c r="C393" s="32">
        <v>45883</v>
      </c>
      <c r="D393" s="33">
        <v>0.4236111111111111</v>
      </c>
      <c r="E393" s="13" t="s">
        <v>1959</v>
      </c>
      <c r="F393" s="63" t="s">
        <v>1961</v>
      </c>
      <c r="G393" s="62" t="s">
        <v>879</v>
      </c>
      <c r="H393" s="160" t="s">
        <v>880</v>
      </c>
      <c r="I393" s="43" t="s">
        <v>102</v>
      </c>
      <c r="J393" s="54" t="s">
        <v>1070</v>
      </c>
      <c r="K393" s="13" t="s">
        <v>1966</v>
      </c>
    </row>
    <row r="394" spans="1:11" ht="55.4" customHeight="1" x14ac:dyDescent="0.25">
      <c r="A394" s="61">
        <v>45870</v>
      </c>
      <c r="B394" s="31" t="s">
        <v>1967</v>
      </c>
      <c r="C394" s="32">
        <v>45875</v>
      </c>
      <c r="D394" s="33">
        <v>0.39583333333333331</v>
      </c>
      <c r="E394" s="13" t="s">
        <v>1755</v>
      </c>
      <c r="F394" s="53" t="s">
        <v>1756</v>
      </c>
      <c r="G394" s="62" t="s">
        <v>1970</v>
      </c>
      <c r="H394" s="161" t="s">
        <v>1971</v>
      </c>
      <c r="I394" s="43" t="s">
        <v>1969</v>
      </c>
      <c r="J394" s="54" t="s">
        <v>1968</v>
      </c>
      <c r="K394" s="13" t="s">
        <v>789</v>
      </c>
    </row>
    <row r="395" spans="1:11" ht="22.5" customHeight="1" x14ac:dyDescent="0.25">
      <c r="A395" s="61">
        <v>45874</v>
      </c>
      <c r="B395" s="31">
        <v>389</v>
      </c>
      <c r="C395" s="32">
        <v>45890</v>
      </c>
      <c r="D395" s="33">
        <v>0.39583333333333331</v>
      </c>
      <c r="E395" s="13" t="s">
        <v>1972</v>
      </c>
      <c r="F395" s="63" t="s">
        <v>1973</v>
      </c>
      <c r="G395" s="62" t="s">
        <v>925</v>
      </c>
      <c r="H395" s="160" t="s">
        <v>926</v>
      </c>
      <c r="I395" s="43" t="s">
        <v>1974</v>
      </c>
      <c r="J395" s="54" t="s">
        <v>1975</v>
      </c>
      <c r="K395" s="13" t="s">
        <v>1976</v>
      </c>
    </row>
    <row r="396" spans="1:11" ht="22.5" customHeight="1" x14ac:dyDescent="0.25">
      <c r="A396" s="61">
        <v>45875</v>
      </c>
      <c r="B396" s="31">
        <v>390</v>
      </c>
      <c r="C396" s="32">
        <v>45890</v>
      </c>
      <c r="D396" s="33">
        <v>0.40277777777777773</v>
      </c>
      <c r="E396" s="13" t="s">
        <v>557</v>
      </c>
      <c r="F396" s="63" t="s">
        <v>1977</v>
      </c>
      <c r="G396" s="62" t="s">
        <v>32</v>
      </c>
      <c r="H396" s="160" t="s">
        <v>1475</v>
      </c>
      <c r="I396" s="43" t="s">
        <v>118</v>
      </c>
      <c r="J396" s="54" t="s">
        <v>764</v>
      </c>
      <c r="K396" s="13" t="s">
        <v>1978</v>
      </c>
    </row>
    <row r="397" spans="1:11" ht="37.5" customHeight="1" x14ac:dyDescent="0.25">
      <c r="A397" s="61">
        <v>45875</v>
      </c>
      <c r="B397" s="31">
        <v>391</v>
      </c>
      <c r="C397" s="32">
        <v>45890</v>
      </c>
      <c r="D397" s="33">
        <v>0.40972222222222227</v>
      </c>
      <c r="E397" s="13" t="s">
        <v>555</v>
      </c>
      <c r="F397" s="63" t="s">
        <v>1979</v>
      </c>
      <c r="G397" s="62" t="s">
        <v>32</v>
      </c>
      <c r="H397" s="160" t="s">
        <v>1475</v>
      </c>
      <c r="I397" s="43" t="s">
        <v>118</v>
      </c>
      <c r="J397" s="54" t="s">
        <v>764</v>
      </c>
      <c r="K397" s="13" t="s">
        <v>919</v>
      </c>
    </row>
    <row r="398" spans="1:11" ht="22.5" customHeight="1" x14ac:dyDescent="0.25">
      <c r="A398" s="61">
        <v>45876</v>
      </c>
      <c r="B398" s="31">
        <v>392</v>
      </c>
      <c r="C398" s="32">
        <v>45890</v>
      </c>
      <c r="D398" s="33">
        <v>0.41666666666666669</v>
      </c>
      <c r="E398" s="13" t="s">
        <v>1980</v>
      </c>
      <c r="F398" s="63" t="s">
        <v>1981</v>
      </c>
      <c r="G398" s="62" t="s">
        <v>736</v>
      </c>
      <c r="H398" s="160" t="s">
        <v>737</v>
      </c>
      <c r="I398" s="43" t="s">
        <v>118</v>
      </c>
      <c r="J398" s="54" t="s">
        <v>764</v>
      </c>
      <c r="K398" s="13" t="s">
        <v>789</v>
      </c>
    </row>
    <row r="399" spans="1:11" ht="22.5" customHeight="1" x14ac:dyDescent="0.25">
      <c r="A399" s="61">
        <v>45876</v>
      </c>
      <c r="B399" s="31">
        <v>393</v>
      </c>
      <c r="C399" s="32">
        <v>45890</v>
      </c>
      <c r="D399" s="33">
        <v>0.4236111111111111</v>
      </c>
      <c r="E399" s="13" t="s">
        <v>1982</v>
      </c>
      <c r="F399" s="63" t="s">
        <v>1860</v>
      </c>
      <c r="G399" s="62" t="s">
        <v>32</v>
      </c>
      <c r="H399" s="160" t="s">
        <v>1475</v>
      </c>
      <c r="I399" s="43" t="s">
        <v>118</v>
      </c>
      <c r="J399" s="54" t="s">
        <v>764</v>
      </c>
      <c r="K399" s="13" t="s">
        <v>1983</v>
      </c>
    </row>
    <row r="400" spans="1:11" ht="22.5" customHeight="1" x14ac:dyDescent="0.25">
      <c r="A400" s="61">
        <v>45880</v>
      </c>
      <c r="B400" s="31">
        <v>394</v>
      </c>
      <c r="C400" s="32">
        <v>44071</v>
      </c>
      <c r="D400" s="33">
        <v>0.39583333333333331</v>
      </c>
      <c r="E400" s="13" t="s">
        <v>1984</v>
      </c>
      <c r="F400" s="63" t="s">
        <v>1985</v>
      </c>
      <c r="G400" s="62" t="s">
        <v>1986</v>
      </c>
      <c r="H400" s="160" t="s">
        <v>1987</v>
      </c>
      <c r="I400" s="43" t="s">
        <v>1901</v>
      </c>
      <c r="J400" s="54" t="s">
        <v>1902</v>
      </c>
      <c r="K400" s="13" t="s">
        <v>919</v>
      </c>
    </row>
    <row r="401" spans="1:11" ht="25" x14ac:dyDescent="0.25">
      <c r="A401" s="61">
        <v>45881</v>
      </c>
      <c r="B401" s="31">
        <v>395</v>
      </c>
      <c r="C401" s="32">
        <v>45897</v>
      </c>
      <c r="D401" s="33">
        <v>0.40277777777777773</v>
      </c>
      <c r="E401" s="13" t="s">
        <v>1988</v>
      </c>
      <c r="F401" s="62" t="s">
        <v>1989</v>
      </c>
      <c r="G401" s="62" t="s">
        <v>1381</v>
      </c>
      <c r="H401" s="160" t="s">
        <v>1382</v>
      </c>
      <c r="I401" s="43" t="s">
        <v>226</v>
      </c>
      <c r="J401" s="54" t="s">
        <v>1340</v>
      </c>
      <c r="K401" s="13" t="s">
        <v>1990</v>
      </c>
    </row>
    <row r="402" spans="1:11" ht="22.5" customHeight="1" x14ac:dyDescent="0.25">
      <c r="A402" s="61">
        <v>45881</v>
      </c>
      <c r="B402" s="31">
        <v>396</v>
      </c>
      <c r="C402" s="32">
        <v>45897</v>
      </c>
      <c r="D402" s="33">
        <v>0.40972222222222227</v>
      </c>
      <c r="E402" s="13" t="s">
        <v>1991</v>
      </c>
      <c r="F402" s="63" t="s">
        <v>1992</v>
      </c>
      <c r="G402" s="62" t="s">
        <v>1381</v>
      </c>
      <c r="H402" s="160" t="s">
        <v>1382</v>
      </c>
      <c r="I402" s="43" t="s">
        <v>1994</v>
      </c>
      <c r="J402" s="54" t="s">
        <v>1993</v>
      </c>
      <c r="K402" s="13" t="s">
        <v>919</v>
      </c>
    </row>
    <row r="403" spans="1:11" ht="22.5" customHeight="1" x14ac:dyDescent="0.25">
      <c r="A403" s="61">
        <v>45882</v>
      </c>
      <c r="B403" s="1">
        <v>397</v>
      </c>
      <c r="C403" s="2">
        <v>45904</v>
      </c>
      <c r="D403" s="3">
        <v>0.39583333333333331</v>
      </c>
      <c r="E403" s="6" t="s">
        <v>2000</v>
      </c>
      <c r="F403" s="63" t="s">
        <v>2001</v>
      </c>
      <c r="G403" s="62" t="s">
        <v>718</v>
      </c>
      <c r="H403" s="160" t="s">
        <v>719</v>
      </c>
      <c r="I403" s="43" t="s">
        <v>2002</v>
      </c>
      <c r="J403" s="54" t="s">
        <v>2003</v>
      </c>
      <c r="K403" s="13" t="s">
        <v>745</v>
      </c>
    </row>
    <row r="404" spans="1:11" ht="22.5" customHeight="1" x14ac:dyDescent="0.25">
      <c r="A404" s="61">
        <v>45882</v>
      </c>
      <c r="B404" s="31">
        <v>398</v>
      </c>
      <c r="C404" s="32">
        <v>45904</v>
      </c>
      <c r="D404" s="33">
        <v>0.40277777777777773</v>
      </c>
      <c r="E404" s="13" t="s">
        <v>1999</v>
      </c>
      <c r="F404" s="63" t="s">
        <v>1995</v>
      </c>
      <c r="G404" s="62" t="s">
        <v>1996</v>
      </c>
      <c r="H404" s="160" t="s">
        <v>840</v>
      </c>
      <c r="I404" s="43" t="s">
        <v>1997</v>
      </c>
      <c r="J404" s="54" t="s">
        <v>1998</v>
      </c>
      <c r="K404" s="13" t="s">
        <v>919</v>
      </c>
    </row>
    <row r="405" spans="1:11" ht="45" customHeight="1" x14ac:dyDescent="0.25">
      <c r="A405" s="61">
        <v>45882</v>
      </c>
      <c r="B405" s="31">
        <v>399</v>
      </c>
      <c r="C405" s="32">
        <v>45904</v>
      </c>
      <c r="D405" s="33">
        <v>0.40972222222222221</v>
      </c>
      <c r="E405" s="13" t="s">
        <v>111</v>
      </c>
      <c r="F405" s="63" t="s">
        <v>2004</v>
      </c>
      <c r="G405" s="62" t="s">
        <v>1152</v>
      </c>
      <c r="H405" s="160" t="s">
        <v>737</v>
      </c>
      <c r="I405" s="43" t="s">
        <v>2005</v>
      </c>
      <c r="J405" s="54" t="s">
        <v>2006</v>
      </c>
      <c r="K405" s="13" t="s">
        <v>2007</v>
      </c>
    </row>
    <row r="406" spans="1:11" ht="22.5" customHeight="1" x14ac:dyDescent="0.25">
      <c r="A406" s="61">
        <v>45883</v>
      </c>
      <c r="B406" s="31">
        <v>400</v>
      </c>
      <c r="C406" s="32">
        <v>45897</v>
      </c>
      <c r="D406" s="33">
        <v>0.41666666666666669</v>
      </c>
      <c r="E406" s="13" t="s">
        <v>2010</v>
      </c>
      <c r="F406" s="63" t="s">
        <v>2009</v>
      </c>
      <c r="G406" s="62" t="s">
        <v>879</v>
      </c>
      <c r="H406" s="160" t="s">
        <v>880</v>
      </c>
      <c r="I406" s="43" t="s">
        <v>102</v>
      </c>
      <c r="J406" s="54" t="s">
        <v>1070</v>
      </c>
      <c r="K406" s="13" t="s">
        <v>1251</v>
      </c>
    </row>
    <row r="407" spans="1:11" ht="22.5" customHeight="1" x14ac:dyDescent="0.25">
      <c r="A407" s="61">
        <v>45883</v>
      </c>
      <c r="B407" s="31">
        <v>401</v>
      </c>
      <c r="C407" s="32">
        <v>45897</v>
      </c>
      <c r="D407" s="33">
        <v>0.4236111111111111</v>
      </c>
      <c r="E407" s="13" t="s">
        <v>2011</v>
      </c>
      <c r="F407" s="63" t="s">
        <v>2012</v>
      </c>
      <c r="G407" s="62" t="s">
        <v>879</v>
      </c>
      <c r="H407" s="160" t="s">
        <v>880</v>
      </c>
      <c r="I407" s="43" t="s">
        <v>102</v>
      </c>
      <c r="J407" s="54" t="s">
        <v>1070</v>
      </c>
      <c r="K407" s="13" t="s">
        <v>1251</v>
      </c>
    </row>
    <row r="408" spans="1:11" ht="22.5" customHeight="1" x14ac:dyDescent="0.25">
      <c r="A408" s="61">
        <v>45883</v>
      </c>
      <c r="B408" s="31">
        <v>402</v>
      </c>
      <c r="C408" s="32">
        <v>45897</v>
      </c>
      <c r="D408" s="33">
        <v>0.43055555555555558</v>
      </c>
      <c r="E408" s="13" t="s">
        <v>2013</v>
      </c>
      <c r="F408" s="63" t="s">
        <v>2014</v>
      </c>
      <c r="G408" s="62" t="s">
        <v>879</v>
      </c>
      <c r="H408" s="160" t="s">
        <v>880</v>
      </c>
      <c r="I408" s="43" t="s">
        <v>102</v>
      </c>
      <c r="J408" s="54" t="s">
        <v>1070</v>
      </c>
      <c r="K408" s="13" t="s">
        <v>1251</v>
      </c>
    </row>
    <row r="409" spans="1:11" ht="22.5" customHeight="1" x14ac:dyDescent="0.25">
      <c r="A409" s="61">
        <v>45888</v>
      </c>
      <c r="B409" s="31">
        <v>403</v>
      </c>
      <c r="C409" s="32">
        <v>45904</v>
      </c>
      <c r="D409" s="33">
        <v>0.41666666666666669</v>
      </c>
      <c r="E409" s="13" t="s">
        <v>2015</v>
      </c>
      <c r="F409" s="63" t="s">
        <v>2016</v>
      </c>
      <c r="G409" s="62" t="s">
        <v>800</v>
      </c>
      <c r="H409" s="160" t="s">
        <v>796</v>
      </c>
      <c r="I409" s="117" t="s">
        <v>2017</v>
      </c>
      <c r="J409" s="62" t="s">
        <v>1111</v>
      </c>
      <c r="K409" s="13" t="s">
        <v>2018</v>
      </c>
    </row>
    <row r="410" spans="1:11" ht="22.5" customHeight="1" x14ac:dyDescent="0.25">
      <c r="A410" s="61">
        <v>45888</v>
      </c>
      <c r="B410" s="31">
        <v>404</v>
      </c>
      <c r="C410" s="32">
        <v>45904</v>
      </c>
      <c r="D410" s="33">
        <v>0.4236111111111111</v>
      </c>
      <c r="E410" s="13" t="s">
        <v>2019</v>
      </c>
      <c r="F410" s="63" t="s">
        <v>2020</v>
      </c>
      <c r="G410" s="62" t="s">
        <v>1996</v>
      </c>
      <c r="H410" s="160" t="s">
        <v>840</v>
      </c>
      <c r="I410" s="43" t="s">
        <v>2021</v>
      </c>
      <c r="J410" s="54" t="s">
        <v>954</v>
      </c>
      <c r="K410" s="13" t="s">
        <v>25</v>
      </c>
    </row>
    <row r="411" spans="1:11" ht="22.5" customHeight="1" x14ac:dyDescent="0.25">
      <c r="A411" s="61">
        <v>45890</v>
      </c>
      <c r="B411" s="31">
        <v>405</v>
      </c>
      <c r="C411" s="32">
        <v>45904</v>
      </c>
      <c r="D411" s="33">
        <v>0.43055555555555558</v>
      </c>
      <c r="E411" s="13" t="s">
        <v>2032</v>
      </c>
      <c r="F411" t="s">
        <v>2023</v>
      </c>
      <c r="G411" s="62" t="s">
        <v>1152</v>
      </c>
      <c r="H411" s="160" t="s">
        <v>737</v>
      </c>
      <c r="I411" s="43" t="s">
        <v>2025</v>
      </c>
      <c r="J411" s="54" t="s">
        <v>2022</v>
      </c>
      <c r="K411" s="13" t="s">
        <v>2024</v>
      </c>
    </row>
    <row r="412" spans="1:11" ht="22.5" customHeight="1" x14ac:dyDescent="0.25">
      <c r="A412" s="61">
        <v>45891</v>
      </c>
      <c r="B412" s="31">
        <v>406</v>
      </c>
      <c r="C412" s="32">
        <v>45910</v>
      </c>
      <c r="D412" s="33">
        <v>0.39583333333333331</v>
      </c>
      <c r="E412" s="13" t="s">
        <v>2026</v>
      </c>
      <c r="F412" s="63" t="s">
        <v>2027</v>
      </c>
      <c r="G412" s="62" t="s">
        <v>736</v>
      </c>
      <c r="H412" s="160" t="s">
        <v>737</v>
      </c>
      <c r="I412" s="43" t="s">
        <v>850</v>
      </c>
      <c r="J412" s="54" t="s">
        <v>851</v>
      </c>
      <c r="K412" s="13" t="s">
        <v>42</v>
      </c>
    </row>
    <row r="413" spans="1:11" ht="22.5" customHeight="1" x14ac:dyDescent="0.25">
      <c r="A413" s="61">
        <v>45891</v>
      </c>
      <c r="B413" s="31">
        <v>407</v>
      </c>
      <c r="C413" s="32">
        <v>45918</v>
      </c>
      <c r="D413" s="33">
        <v>0.39583333333333331</v>
      </c>
      <c r="E413" s="13" t="s">
        <v>2028</v>
      </c>
      <c r="F413" s="63" t="s">
        <v>2029</v>
      </c>
      <c r="G413" s="62" t="s">
        <v>736</v>
      </c>
      <c r="H413" s="160" t="s">
        <v>737</v>
      </c>
      <c r="I413" s="43" t="s">
        <v>2030</v>
      </c>
      <c r="J413" s="54" t="s">
        <v>2031</v>
      </c>
      <c r="K413" s="13" t="s">
        <v>407</v>
      </c>
    </row>
    <row r="414" spans="1:11" ht="22.5" customHeight="1" x14ac:dyDescent="0.25">
      <c r="A414" s="61">
        <v>45894</v>
      </c>
      <c r="B414" s="31">
        <v>408</v>
      </c>
      <c r="C414" s="32">
        <v>45904</v>
      </c>
      <c r="D414" s="33">
        <v>0.4375</v>
      </c>
      <c r="E414" s="13" t="s">
        <v>2033</v>
      </c>
      <c r="F414" s="63" t="s">
        <v>2034</v>
      </c>
      <c r="G414" s="62" t="s">
        <v>736</v>
      </c>
      <c r="H414" s="161" t="s">
        <v>737</v>
      </c>
      <c r="I414" s="43" t="s">
        <v>100</v>
      </c>
      <c r="J414" s="54" t="s">
        <v>833</v>
      </c>
      <c r="K414" s="13" t="s">
        <v>42</v>
      </c>
    </row>
    <row r="415" spans="1:11" ht="22.5" customHeight="1" x14ac:dyDescent="0.25">
      <c r="A415" s="61">
        <v>45894</v>
      </c>
      <c r="B415" s="31">
        <v>409</v>
      </c>
      <c r="C415" s="32">
        <v>45910</v>
      </c>
      <c r="D415" s="33">
        <v>0.40277777777777779</v>
      </c>
      <c r="E415" s="13" t="s">
        <v>2035</v>
      </c>
      <c r="F415" s="63" t="s">
        <v>2036</v>
      </c>
      <c r="G415" s="62" t="s">
        <v>736</v>
      </c>
      <c r="H415" s="161" t="s">
        <v>737</v>
      </c>
      <c r="I415" s="43" t="s">
        <v>295</v>
      </c>
      <c r="J415" s="54" t="s">
        <v>1340</v>
      </c>
      <c r="K415" s="13" t="s">
        <v>63</v>
      </c>
    </row>
    <row r="416" spans="1:11" ht="22.5" customHeight="1" x14ac:dyDescent="0.25">
      <c r="A416" s="61">
        <v>45894</v>
      </c>
      <c r="B416" s="31">
        <v>410</v>
      </c>
      <c r="C416" s="32">
        <v>45918</v>
      </c>
      <c r="D416" s="33">
        <v>0.40277777777777779</v>
      </c>
      <c r="E416" s="13" t="s">
        <v>1301</v>
      </c>
      <c r="F416" s="63" t="s">
        <v>1302</v>
      </c>
      <c r="G416" s="62" t="s">
        <v>736</v>
      </c>
      <c r="H416" s="161" t="s">
        <v>737</v>
      </c>
      <c r="I416" s="43" t="s">
        <v>1063</v>
      </c>
      <c r="J416" s="54" t="s">
        <v>1064</v>
      </c>
      <c r="K416" s="13" t="s">
        <v>42</v>
      </c>
    </row>
    <row r="417" spans="1:13" ht="22.5" customHeight="1" x14ac:dyDescent="0.25">
      <c r="A417" s="61">
        <v>45894</v>
      </c>
      <c r="B417" s="31">
        <v>411</v>
      </c>
      <c r="C417" s="32">
        <v>45910</v>
      </c>
      <c r="D417" s="33">
        <v>0.40972222222222221</v>
      </c>
      <c r="E417" s="13" t="s">
        <v>2037</v>
      </c>
      <c r="F417" s="63" t="s">
        <v>2038</v>
      </c>
      <c r="G417" s="62" t="s">
        <v>736</v>
      </c>
      <c r="H417" s="161" t="s">
        <v>737</v>
      </c>
      <c r="I417" s="43" t="s">
        <v>861</v>
      </c>
      <c r="J417" s="54" t="s">
        <v>804</v>
      </c>
      <c r="K417" s="13" t="s">
        <v>1407</v>
      </c>
    </row>
    <row r="418" spans="1:13" ht="22.5" customHeight="1" x14ac:dyDescent="0.25">
      <c r="A418" s="61">
        <v>45897</v>
      </c>
      <c r="B418" s="31">
        <v>412</v>
      </c>
      <c r="C418" s="32">
        <v>45910</v>
      </c>
      <c r="D418" s="33">
        <v>0.41666666666666669</v>
      </c>
      <c r="E418" s="13" t="s">
        <v>2039</v>
      </c>
      <c r="F418" s="63" t="s">
        <v>2040</v>
      </c>
      <c r="G418" s="62" t="s">
        <v>966</v>
      </c>
      <c r="H418" s="161" t="s">
        <v>777</v>
      </c>
      <c r="I418" s="43" t="s">
        <v>2041</v>
      </c>
      <c r="J418" s="54" t="s">
        <v>2042</v>
      </c>
      <c r="K418" s="13" t="s">
        <v>148</v>
      </c>
    </row>
    <row r="419" spans="1:13" ht="22.5" customHeight="1" x14ac:dyDescent="0.25">
      <c r="A419" s="61">
        <v>45898</v>
      </c>
      <c r="B419" s="31">
        <v>413</v>
      </c>
      <c r="C419" s="32">
        <v>45918</v>
      </c>
      <c r="D419" s="33">
        <v>0.4236111111111111</v>
      </c>
      <c r="E419" s="13" t="s">
        <v>329</v>
      </c>
      <c r="F419" t="s">
        <v>2043</v>
      </c>
      <c r="G419" s="62" t="s">
        <v>2044</v>
      </c>
      <c r="H419" s="162" t="s">
        <v>2045</v>
      </c>
      <c r="I419" t="s">
        <v>2046</v>
      </c>
      <c r="J419" s="107" t="s">
        <v>2047</v>
      </c>
      <c r="K419" s="122" t="s">
        <v>2048</v>
      </c>
    </row>
    <row r="420" spans="1:13" ht="22.5" customHeight="1" x14ac:dyDescent="0.25">
      <c r="A420" s="61">
        <v>45872</v>
      </c>
      <c r="B420" s="31">
        <v>414</v>
      </c>
      <c r="C420" s="32">
        <v>45918</v>
      </c>
      <c r="D420" s="33">
        <v>0.43055555555555558</v>
      </c>
      <c r="E420" s="13" t="s">
        <v>2049</v>
      </c>
      <c r="F420" s="63" t="s">
        <v>2050</v>
      </c>
      <c r="G420" s="62" t="s">
        <v>32</v>
      </c>
      <c r="H420" s="161" t="s">
        <v>1475</v>
      </c>
      <c r="I420" s="43" t="s">
        <v>850</v>
      </c>
      <c r="J420" s="54" t="s">
        <v>851</v>
      </c>
      <c r="K420" s="13" t="s">
        <v>425</v>
      </c>
    </row>
    <row r="421" spans="1:13" ht="22.5" customHeight="1" x14ac:dyDescent="0.25">
      <c r="A421" s="61">
        <v>45903</v>
      </c>
      <c r="B421" s="31">
        <v>415</v>
      </c>
      <c r="C421" s="32">
        <v>45918</v>
      </c>
      <c r="D421" s="33">
        <v>0.4375</v>
      </c>
      <c r="E421" s="13" t="s">
        <v>2051</v>
      </c>
      <c r="F421" s="63" t="s">
        <v>2052</v>
      </c>
      <c r="G421" s="62" t="s">
        <v>736</v>
      </c>
      <c r="H421" s="161" t="s">
        <v>737</v>
      </c>
      <c r="I421" s="43" t="s">
        <v>118</v>
      </c>
      <c r="J421" s="54" t="s">
        <v>764</v>
      </c>
      <c r="K421" s="13" t="s">
        <v>2053</v>
      </c>
    </row>
    <row r="422" spans="1:13" ht="22.5" customHeight="1" x14ac:dyDescent="0.25">
      <c r="A422" s="61">
        <v>45904</v>
      </c>
      <c r="B422" s="31">
        <v>416</v>
      </c>
      <c r="C422" s="32">
        <v>45918</v>
      </c>
      <c r="D422" s="33">
        <v>0.44444444444444442</v>
      </c>
      <c r="E422" s="13" t="s">
        <v>2054</v>
      </c>
      <c r="F422" s="63" t="s">
        <v>2055</v>
      </c>
      <c r="G422" s="62" t="s">
        <v>736</v>
      </c>
      <c r="H422" s="161" t="s">
        <v>737</v>
      </c>
      <c r="I422" s="43" t="s">
        <v>2056</v>
      </c>
      <c r="J422" s="54" t="s">
        <v>2057</v>
      </c>
      <c r="K422" s="13" t="s">
        <v>42</v>
      </c>
    </row>
    <row r="423" spans="1:13" ht="22.5" customHeight="1" x14ac:dyDescent="0.25">
      <c r="A423" s="61">
        <v>45904</v>
      </c>
      <c r="B423" s="31">
        <v>417</v>
      </c>
      <c r="C423" s="32">
        <v>45918</v>
      </c>
      <c r="D423" s="33">
        <v>0.40972222222222221</v>
      </c>
      <c r="E423" s="13" t="s">
        <v>2058</v>
      </c>
      <c r="F423" s="63" t="s">
        <v>2059</v>
      </c>
      <c r="G423" s="62" t="s">
        <v>966</v>
      </c>
      <c r="H423" s="161" t="s">
        <v>777</v>
      </c>
      <c r="I423" s="43" t="s">
        <v>2060</v>
      </c>
      <c r="J423" s="54" t="s">
        <v>2061</v>
      </c>
      <c r="K423" s="13" t="s">
        <v>1430</v>
      </c>
    </row>
    <row r="424" spans="1:13" ht="22.5" customHeight="1" x14ac:dyDescent="0.25">
      <c r="A424" s="61">
        <v>45905</v>
      </c>
      <c r="B424" s="31">
        <v>418</v>
      </c>
      <c r="C424" s="32">
        <v>45925</v>
      </c>
      <c r="D424" s="33">
        <v>0.39583333333333331</v>
      </c>
      <c r="E424" s="13" t="s">
        <v>2062</v>
      </c>
      <c r="F424" s="63" t="s">
        <v>2063</v>
      </c>
      <c r="G424" s="62" t="s">
        <v>879</v>
      </c>
      <c r="H424" s="161" t="s">
        <v>880</v>
      </c>
      <c r="I424" s="43" t="s">
        <v>2064</v>
      </c>
      <c r="J424" s="54" t="s">
        <v>2065</v>
      </c>
      <c r="K424" s="13" t="s">
        <v>254</v>
      </c>
      <c r="L424" s="61"/>
      <c r="M424" s="31"/>
    </row>
    <row r="425" spans="1:13" ht="22.5" customHeight="1" x14ac:dyDescent="0.25">
      <c r="A425" s="61">
        <v>45907</v>
      </c>
      <c r="B425" s="31">
        <v>419</v>
      </c>
      <c r="C425" s="32">
        <v>45925</v>
      </c>
      <c r="D425" s="33">
        <v>0.40277777777777779</v>
      </c>
      <c r="E425" s="13" t="s">
        <v>2067</v>
      </c>
      <c r="F425" s="63" t="s">
        <v>2066</v>
      </c>
      <c r="G425" s="62" t="s">
        <v>839</v>
      </c>
      <c r="H425" s="161" t="s">
        <v>840</v>
      </c>
      <c r="I425" s="43" t="s">
        <v>2068</v>
      </c>
      <c r="J425" s="54" t="s">
        <v>1965</v>
      </c>
      <c r="K425" s="13" t="s">
        <v>25</v>
      </c>
    </row>
    <row r="426" spans="1:13" ht="22.5" customHeight="1" x14ac:dyDescent="0.25">
      <c r="A426" s="61">
        <v>45910</v>
      </c>
      <c r="B426" s="31">
        <v>420</v>
      </c>
      <c r="C426" s="32">
        <v>45925</v>
      </c>
      <c r="D426" s="33">
        <v>0.40972222222222221</v>
      </c>
      <c r="E426" t="s">
        <v>2069</v>
      </c>
      <c r="F426" t="s">
        <v>2070</v>
      </c>
      <c r="G426" s="156" t="s">
        <v>957</v>
      </c>
      <c r="H426" s="162" t="s">
        <v>900</v>
      </c>
      <c r="I426" s="43" t="s">
        <v>2071</v>
      </c>
      <c r="J426" s="54" t="s">
        <v>1053</v>
      </c>
      <c r="K426" s="13" t="s">
        <v>789</v>
      </c>
    </row>
    <row r="427" spans="1:13" ht="22.5" customHeight="1" x14ac:dyDescent="0.25">
      <c r="A427" s="61">
        <v>45910</v>
      </c>
      <c r="B427" s="31">
        <v>421</v>
      </c>
      <c r="C427" s="32">
        <v>45925</v>
      </c>
      <c r="D427" s="33">
        <v>0.41666666666666669</v>
      </c>
      <c r="E427" t="s">
        <v>2072</v>
      </c>
      <c r="F427" t="s">
        <v>2073</v>
      </c>
      <c r="G427" s="62" t="s">
        <v>736</v>
      </c>
      <c r="H427" s="161" t="s">
        <v>737</v>
      </c>
      <c r="I427" t="s">
        <v>1357</v>
      </c>
      <c r="J427" s="49" t="s">
        <v>954</v>
      </c>
      <c r="K427" t="s">
        <v>2074</v>
      </c>
    </row>
    <row r="428" spans="1:13" ht="22.5" customHeight="1" x14ac:dyDescent="0.25">
      <c r="A428" s="61">
        <v>45911</v>
      </c>
      <c r="B428" s="31">
        <v>422</v>
      </c>
      <c r="C428" s="32">
        <v>45925</v>
      </c>
      <c r="D428" s="33">
        <v>0.4236111111111111</v>
      </c>
      <c r="E428" t="s">
        <v>413</v>
      </c>
      <c r="F428" t="s">
        <v>2075</v>
      </c>
      <c r="G428" s="156" t="s">
        <v>718</v>
      </c>
      <c r="H428" s="162" t="s">
        <v>719</v>
      </c>
      <c r="I428" t="s">
        <v>2076</v>
      </c>
      <c r="J428" s="49" t="s">
        <v>1160</v>
      </c>
      <c r="K428" s="13" t="s">
        <v>90</v>
      </c>
    </row>
    <row r="429" spans="1:13" ht="22.5" customHeight="1" x14ac:dyDescent="0.25">
      <c r="A429" s="61">
        <v>45911</v>
      </c>
      <c r="B429" s="31">
        <v>423</v>
      </c>
      <c r="C429" s="32">
        <v>45925</v>
      </c>
      <c r="D429" s="33">
        <v>0.43055555555555558</v>
      </c>
      <c r="E429" t="s">
        <v>2077</v>
      </c>
      <c r="F429" t="s">
        <v>2078</v>
      </c>
      <c r="G429" s="156" t="s">
        <v>1068</v>
      </c>
      <c r="H429" s="162" t="s">
        <v>1069</v>
      </c>
      <c r="I429" t="s">
        <v>2079</v>
      </c>
      <c r="J429" s="49" t="s">
        <v>1070</v>
      </c>
      <c r="K429" t="s">
        <v>20</v>
      </c>
    </row>
    <row r="430" spans="1:13" ht="22.5" customHeight="1" x14ac:dyDescent="0.25">
      <c r="A430" s="61">
        <v>45911</v>
      </c>
      <c r="B430" s="31">
        <v>424</v>
      </c>
      <c r="C430" s="32">
        <v>45925</v>
      </c>
      <c r="D430" s="33">
        <v>0.4375</v>
      </c>
      <c r="E430" t="s">
        <v>2080</v>
      </c>
      <c r="F430" t="s">
        <v>2081</v>
      </c>
      <c r="G430" s="156" t="s">
        <v>718</v>
      </c>
      <c r="H430" s="162" t="s">
        <v>719</v>
      </c>
      <c r="I430" t="s">
        <v>2082</v>
      </c>
      <c r="J430" s="49" t="s">
        <v>2083</v>
      </c>
      <c r="K430" t="s">
        <v>1028</v>
      </c>
    </row>
    <row r="431" spans="1:13" ht="22.5" customHeight="1" x14ac:dyDescent="0.25">
      <c r="A431" s="61">
        <v>45911</v>
      </c>
      <c r="B431" s="31">
        <v>425</v>
      </c>
      <c r="C431" s="32">
        <v>45925</v>
      </c>
      <c r="D431" s="33">
        <v>0.44444444444444442</v>
      </c>
      <c r="E431" t="s">
        <v>2084</v>
      </c>
      <c r="F431" t="s">
        <v>2085</v>
      </c>
      <c r="G431" s="156" t="s">
        <v>718</v>
      </c>
      <c r="H431" s="162" t="s">
        <v>719</v>
      </c>
      <c r="I431" t="s">
        <v>2087</v>
      </c>
      <c r="J431" s="127" t="s">
        <v>1340</v>
      </c>
      <c r="K431" t="s">
        <v>2086</v>
      </c>
    </row>
    <row r="432" spans="1:13" ht="22.5" customHeight="1" x14ac:dyDescent="0.25">
      <c r="A432" s="138">
        <v>45911</v>
      </c>
      <c r="B432" s="141">
        <v>426</v>
      </c>
      <c r="C432" s="152">
        <v>45925</v>
      </c>
      <c r="D432" s="145">
        <v>0.4513888888888889</v>
      </c>
      <c r="E432" s="137" t="s">
        <v>2088</v>
      </c>
      <c r="F432" s="125" t="s">
        <v>2089</v>
      </c>
      <c r="G432" s="129" t="s">
        <v>718</v>
      </c>
      <c r="H432" s="162" t="s">
        <v>719</v>
      </c>
      <c r="I432" s="124" t="s">
        <v>2090</v>
      </c>
      <c r="J432" s="127" t="s">
        <v>2091</v>
      </c>
      <c r="K432" s="123" t="s">
        <v>2092</v>
      </c>
    </row>
    <row r="433" spans="1:11" ht="22.5" customHeight="1" x14ac:dyDescent="0.25">
      <c r="A433" s="138">
        <v>45911</v>
      </c>
      <c r="B433" s="141">
        <v>427</v>
      </c>
      <c r="C433" s="152">
        <v>45925</v>
      </c>
      <c r="D433" s="145">
        <v>0.45833333333333331</v>
      </c>
      <c r="E433" s="137" t="s">
        <v>2093</v>
      </c>
      <c r="F433" s="125" t="s">
        <v>2094</v>
      </c>
      <c r="G433" s="156" t="s">
        <v>1068</v>
      </c>
      <c r="H433" s="162" t="s">
        <v>1069</v>
      </c>
      <c r="I433" s="124" t="s">
        <v>268</v>
      </c>
      <c r="J433" s="127" t="s">
        <v>1070</v>
      </c>
      <c r="K433" s="123" t="s">
        <v>20</v>
      </c>
    </row>
    <row r="434" spans="1:11" ht="22.5" customHeight="1" x14ac:dyDescent="0.25">
      <c r="A434" s="138">
        <v>45911</v>
      </c>
      <c r="B434" s="141">
        <v>428</v>
      </c>
      <c r="C434" s="152">
        <v>45925</v>
      </c>
      <c r="D434" s="145">
        <v>0.46527777777777779</v>
      </c>
      <c r="E434" s="137" t="s">
        <v>2095</v>
      </c>
      <c r="F434" s="125" t="s">
        <v>2096</v>
      </c>
      <c r="G434" s="129" t="s">
        <v>718</v>
      </c>
      <c r="H434" s="162" t="s">
        <v>719</v>
      </c>
      <c r="I434" s="124" t="s">
        <v>226</v>
      </c>
      <c r="J434" s="127" t="s">
        <v>1340</v>
      </c>
      <c r="K434" s="123" t="s">
        <v>919</v>
      </c>
    </row>
    <row r="435" spans="1:11" ht="22.5" customHeight="1" x14ac:dyDescent="0.25">
      <c r="A435" s="138">
        <v>45912</v>
      </c>
      <c r="B435" s="141">
        <v>429</v>
      </c>
      <c r="C435" s="152">
        <v>45939</v>
      </c>
      <c r="D435" s="33">
        <v>0.39583333333333331</v>
      </c>
      <c r="E435" t="s">
        <v>2101</v>
      </c>
      <c r="F435" t="s">
        <v>2097</v>
      </c>
      <c r="G435" s="129" t="s">
        <v>2098</v>
      </c>
      <c r="H435" s="125"/>
      <c r="I435" s="124" t="s">
        <v>2099</v>
      </c>
      <c r="J435" s="49" t="s">
        <v>2100</v>
      </c>
      <c r="K435" s="123" t="s">
        <v>919</v>
      </c>
    </row>
    <row r="436" spans="1:11" ht="22.5" customHeight="1" x14ac:dyDescent="0.25">
      <c r="A436" s="138">
        <v>45915</v>
      </c>
      <c r="B436" s="141">
        <v>430</v>
      </c>
      <c r="C436" s="152">
        <v>45939</v>
      </c>
      <c r="D436" s="33">
        <v>0.40277777777777779</v>
      </c>
      <c r="E436" t="s">
        <v>2102</v>
      </c>
      <c r="F436" t="s">
        <v>2103</v>
      </c>
      <c r="G436" s="129" t="s">
        <v>2098</v>
      </c>
      <c r="H436" s="125"/>
      <c r="I436" s="124" t="s">
        <v>226</v>
      </c>
      <c r="J436" s="127" t="s">
        <v>1340</v>
      </c>
      <c r="K436" s="123" t="s">
        <v>919</v>
      </c>
    </row>
    <row r="437" spans="1:11" ht="22.5" customHeight="1" x14ac:dyDescent="0.25">
      <c r="A437" s="138">
        <v>45915</v>
      </c>
      <c r="B437" s="141">
        <v>431</v>
      </c>
      <c r="C437" s="152">
        <v>45932</v>
      </c>
      <c r="D437" s="33">
        <v>0.39583333333333331</v>
      </c>
      <c r="E437" t="s">
        <v>2104</v>
      </c>
      <c r="F437" t="s">
        <v>2105</v>
      </c>
      <c r="G437" s="62" t="s">
        <v>1996</v>
      </c>
      <c r="H437" s="160" t="s">
        <v>840</v>
      </c>
      <c r="I437" s="158" t="s">
        <v>2107</v>
      </c>
      <c r="J437" s="49" t="s">
        <v>1965</v>
      </c>
      <c r="K437" t="s">
        <v>2106</v>
      </c>
    </row>
    <row r="438" spans="1:11" ht="22.5" customHeight="1" x14ac:dyDescent="0.25">
      <c r="A438" s="138">
        <v>45916</v>
      </c>
      <c r="B438" s="141">
        <v>432</v>
      </c>
      <c r="C438" s="152">
        <v>45932</v>
      </c>
      <c r="D438" s="145">
        <v>0.40277777777777773</v>
      </c>
      <c r="E438" s="137" t="s">
        <v>2108</v>
      </c>
      <c r="F438" s="125" t="s">
        <v>2109</v>
      </c>
      <c r="G438" s="129" t="s">
        <v>2110</v>
      </c>
      <c r="H438" s="125" t="s">
        <v>926</v>
      </c>
      <c r="I438" s="124" t="s">
        <v>2111</v>
      </c>
      <c r="J438" s="127" t="s">
        <v>1832</v>
      </c>
      <c r="K438" s="123" t="s">
        <v>2112</v>
      </c>
    </row>
    <row r="439" spans="1:11" ht="22.5" customHeight="1" x14ac:dyDescent="0.25">
      <c r="A439" s="138">
        <v>45918</v>
      </c>
      <c r="B439" s="141">
        <v>433</v>
      </c>
      <c r="C439" s="152">
        <v>45932</v>
      </c>
      <c r="D439" s="145">
        <v>0.40972222222222227</v>
      </c>
      <c r="E439" s="137" t="s">
        <v>2113</v>
      </c>
      <c r="F439" s="125" t="s">
        <v>2114</v>
      </c>
      <c r="G439" s="129" t="s">
        <v>957</v>
      </c>
      <c r="H439" s="125" t="s">
        <v>900</v>
      </c>
      <c r="I439" s="124" t="s">
        <v>2115</v>
      </c>
      <c r="J439" s="127" t="s">
        <v>2116</v>
      </c>
      <c r="K439" s="123" t="s">
        <v>789</v>
      </c>
    </row>
    <row r="440" spans="1:11" ht="22.5" customHeight="1" x14ac:dyDescent="0.25">
      <c r="A440" s="138">
        <v>45918</v>
      </c>
      <c r="B440" s="141">
        <v>434</v>
      </c>
      <c r="C440" s="152">
        <v>45932</v>
      </c>
      <c r="D440" s="145">
        <v>0.41666666666666669</v>
      </c>
      <c r="E440" s="137" t="s">
        <v>2117</v>
      </c>
      <c r="F440" s="125" t="s">
        <v>2118</v>
      </c>
      <c r="G440" s="129" t="s">
        <v>1152</v>
      </c>
      <c r="H440" s="126" t="s">
        <v>737</v>
      </c>
      <c r="I440" s="124" t="s">
        <v>2119</v>
      </c>
      <c r="J440" s="127" t="s">
        <v>2120</v>
      </c>
      <c r="K440" s="123" t="s">
        <v>2121</v>
      </c>
    </row>
    <row r="441" spans="1:11" ht="22.5" customHeight="1" x14ac:dyDescent="0.25">
      <c r="A441" s="138">
        <v>45918</v>
      </c>
      <c r="B441" s="141">
        <v>435</v>
      </c>
      <c r="C441" s="152">
        <v>45932</v>
      </c>
      <c r="D441" s="145">
        <v>0.4236111111111111</v>
      </c>
      <c r="E441" s="137" t="s">
        <v>2122</v>
      </c>
      <c r="F441" s="125" t="s">
        <v>2123</v>
      </c>
      <c r="G441" s="129" t="s">
        <v>779</v>
      </c>
      <c r="H441" s="126" t="s">
        <v>784</v>
      </c>
      <c r="I441" s="124" t="s">
        <v>2124</v>
      </c>
      <c r="J441" s="127" t="s">
        <v>2125</v>
      </c>
      <c r="K441" s="123" t="s">
        <v>2128</v>
      </c>
    </row>
    <row r="442" spans="1:11" ht="22.5" customHeight="1" x14ac:dyDescent="0.25">
      <c r="A442" s="138">
        <v>45918</v>
      </c>
      <c r="B442" s="141">
        <v>436</v>
      </c>
      <c r="C442" s="152">
        <v>45946</v>
      </c>
      <c r="D442" s="145">
        <v>0.39583333333333331</v>
      </c>
      <c r="E442" s="137" t="s">
        <v>2000</v>
      </c>
      <c r="F442" s="125" t="s">
        <v>2001</v>
      </c>
      <c r="G442" s="129" t="s">
        <v>718</v>
      </c>
      <c r="H442" s="126" t="s">
        <v>719</v>
      </c>
      <c r="I442" s="124" t="s">
        <v>2126</v>
      </c>
      <c r="J442" s="127" t="s">
        <v>2003</v>
      </c>
      <c r="K442" s="123" t="s">
        <v>2127</v>
      </c>
    </row>
    <row r="443" spans="1:11" ht="22.5" customHeight="1" x14ac:dyDescent="0.25">
      <c r="A443" s="138">
        <v>45919</v>
      </c>
      <c r="B443" s="141">
        <v>437</v>
      </c>
      <c r="C443" s="152">
        <v>45932</v>
      </c>
      <c r="D443" s="145">
        <v>0.43055555555555558</v>
      </c>
      <c r="E443" t="s">
        <v>2129</v>
      </c>
      <c r="F443" t="s">
        <v>2130</v>
      </c>
      <c r="G443" s="129" t="s">
        <v>718</v>
      </c>
      <c r="H443" s="162" t="s">
        <v>719</v>
      </c>
      <c r="I443" s="158" t="s">
        <v>2131</v>
      </c>
      <c r="J443" t="s">
        <v>2132</v>
      </c>
      <c r="K443" t="s">
        <v>1531</v>
      </c>
    </row>
    <row r="444" spans="1:11" ht="22.5" customHeight="1" x14ac:dyDescent="0.25">
      <c r="A444" s="138">
        <v>45919</v>
      </c>
      <c r="B444" s="141">
        <v>438</v>
      </c>
      <c r="C444" s="152">
        <v>45932</v>
      </c>
      <c r="D444" s="145">
        <v>0.4375</v>
      </c>
      <c r="E444" t="s">
        <v>2133</v>
      </c>
      <c r="F444" t="s">
        <v>2134</v>
      </c>
      <c r="G444" s="62" t="s">
        <v>1996</v>
      </c>
      <c r="H444" s="160" t="s">
        <v>840</v>
      </c>
      <c r="I444" t="s">
        <v>2135</v>
      </c>
      <c r="J444" t="s">
        <v>804</v>
      </c>
      <c r="K444" s="123" t="s">
        <v>919</v>
      </c>
    </row>
    <row r="445" spans="1:11" ht="22.5" customHeight="1" x14ac:dyDescent="0.25">
      <c r="A445" s="138">
        <v>45922</v>
      </c>
      <c r="B445" s="141">
        <v>439</v>
      </c>
      <c r="C445" s="152">
        <v>45939</v>
      </c>
      <c r="D445" s="33">
        <v>0.40972222222222221</v>
      </c>
      <c r="E445" t="s">
        <v>2136</v>
      </c>
      <c r="F445" t="s">
        <v>717</v>
      </c>
      <c r="G445" s="62" t="s">
        <v>1996</v>
      </c>
      <c r="H445" s="160" t="s">
        <v>840</v>
      </c>
      <c r="I445" t="s">
        <v>2135</v>
      </c>
      <c r="J445" t="s">
        <v>804</v>
      </c>
      <c r="K445" s="123" t="s">
        <v>919</v>
      </c>
    </row>
    <row r="446" spans="1:11" ht="22.5" customHeight="1" x14ac:dyDescent="0.25">
      <c r="A446" s="138">
        <v>45922</v>
      </c>
      <c r="B446" s="141">
        <v>440</v>
      </c>
      <c r="C446" s="152">
        <v>45939</v>
      </c>
      <c r="D446" s="33">
        <v>0.41666666666666669</v>
      </c>
      <c r="E446" t="s">
        <v>1334</v>
      </c>
      <c r="F446" t="s">
        <v>1335</v>
      </c>
      <c r="G446" s="129" t="s">
        <v>718</v>
      </c>
      <c r="H446" s="162" t="s">
        <v>719</v>
      </c>
      <c r="I446" t="s">
        <v>268</v>
      </c>
      <c r="J446" t="s">
        <v>1070</v>
      </c>
      <c r="K446" t="s">
        <v>2137</v>
      </c>
    </row>
    <row r="447" spans="1:11" ht="22.5" customHeight="1" x14ac:dyDescent="0.25">
      <c r="A447" s="138">
        <v>45922</v>
      </c>
      <c r="B447" s="141">
        <v>441</v>
      </c>
      <c r="C447" s="152">
        <v>45939</v>
      </c>
      <c r="D447" s="33">
        <v>0.4236111111111111</v>
      </c>
      <c r="E447" t="s">
        <v>2138</v>
      </c>
      <c r="F447" t="s">
        <v>2139</v>
      </c>
      <c r="G447" s="129" t="s">
        <v>718</v>
      </c>
      <c r="H447" s="162" t="s">
        <v>719</v>
      </c>
      <c r="I447" s="158" t="s">
        <v>2141</v>
      </c>
      <c r="J447" s="158" t="s">
        <v>2142</v>
      </c>
      <c r="K447" t="s">
        <v>2140</v>
      </c>
    </row>
    <row r="448" spans="1:11" ht="22.5" customHeight="1" x14ac:dyDescent="0.25">
      <c r="A448" s="138">
        <v>45922</v>
      </c>
      <c r="B448" s="141">
        <v>442</v>
      </c>
      <c r="C448" s="152">
        <v>45939</v>
      </c>
      <c r="D448" s="145">
        <v>0.43055555555555558</v>
      </c>
      <c r="E448" t="s">
        <v>2143</v>
      </c>
      <c r="F448" t="s">
        <v>2144</v>
      </c>
      <c r="G448" s="129" t="s">
        <v>718</v>
      </c>
      <c r="H448" s="162" t="s">
        <v>719</v>
      </c>
      <c r="I448" s="158" t="s">
        <v>2145</v>
      </c>
      <c r="J448" s="158" t="s">
        <v>2142</v>
      </c>
      <c r="K448" t="s">
        <v>2140</v>
      </c>
    </row>
    <row r="449" spans="1:12" ht="22.5" customHeight="1" x14ac:dyDescent="0.25">
      <c r="A449" s="138">
        <v>45922</v>
      </c>
      <c r="B449" s="141">
        <v>443</v>
      </c>
      <c r="C449" s="152">
        <v>45939</v>
      </c>
      <c r="D449" s="145">
        <v>0.4375</v>
      </c>
      <c r="E449" t="s">
        <v>2146</v>
      </c>
      <c r="F449" t="s">
        <v>2147</v>
      </c>
      <c r="G449" s="49" t="s">
        <v>2148</v>
      </c>
      <c r="H449" t="s">
        <v>2149</v>
      </c>
      <c r="I449" s="124" t="s">
        <v>2151</v>
      </c>
      <c r="J449" s="127" t="s">
        <v>2152</v>
      </c>
      <c r="K449" s="123" t="s">
        <v>2150</v>
      </c>
    </row>
    <row r="450" spans="1:12" ht="22.5" customHeight="1" x14ac:dyDescent="0.25">
      <c r="A450" s="138">
        <v>45923</v>
      </c>
      <c r="B450" s="141">
        <v>444</v>
      </c>
      <c r="C450" s="152">
        <v>45946</v>
      </c>
      <c r="D450" s="145">
        <v>0.40277777777777779</v>
      </c>
      <c r="E450" t="s">
        <v>2153</v>
      </c>
      <c r="F450" t="s">
        <v>2154</v>
      </c>
      <c r="G450" s="49" t="s">
        <v>957</v>
      </c>
      <c r="H450" t="s">
        <v>900</v>
      </c>
      <c r="I450" t="s">
        <v>2156</v>
      </c>
      <c r="J450" t="s">
        <v>2155</v>
      </c>
      <c r="K450" t="s">
        <v>2162</v>
      </c>
    </row>
    <row r="451" spans="1:12" ht="22.5" customHeight="1" x14ac:dyDescent="0.25">
      <c r="A451" s="138">
        <v>45925</v>
      </c>
      <c r="B451" s="141">
        <v>445</v>
      </c>
      <c r="C451" s="152">
        <v>45953</v>
      </c>
      <c r="D451" s="145">
        <v>0.39583333333333331</v>
      </c>
      <c r="E451" t="s">
        <v>2157</v>
      </c>
      <c r="F451" t="s">
        <v>2158</v>
      </c>
      <c r="G451" s="129" t="s">
        <v>1152</v>
      </c>
      <c r="H451" s="126" t="s">
        <v>737</v>
      </c>
      <c r="I451" t="s">
        <v>2159</v>
      </c>
      <c r="J451" t="s">
        <v>2160</v>
      </c>
      <c r="K451" t="s">
        <v>2161</v>
      </c>
    </row>
    <row r="452" spans="1:12" ht="22.5" customHeight="1" x14ac:dyDescent="0.25">
      <c r="A452" s="138">
        <v>45925</v>
      </c>
      <c r="B452" s="141">
        <v>446</v>
      </c>
      <c r="C452" s="152">
        <v>45946</v>
      </c>
      <c r="D452" s="145">
        <v>0.40972222222222221</v>
      </c>
      <c r="E452" t="s">
        <v>2163</v>
      </c>
      <c r="F452" t="s">
        <v>2164</v>
      </c>
      <c r="G452" s="107" t="s">
        <v>962</v>
      </c>
      <c r="H452" t="s">
        <v>763</v>
      </c>
      <c r="I452" t="s">
        <v>2166</v>
      </c>
      <c r="J452" t="s">
        <v>728</v>
      </c>
      <c r="K452" t="s">
        <v>2165</v>
      </c>
    </row>
    <row r="453" spans="1:12" ht="22.5" customHeight="1" x14ac:dyDescent="0.25">
      <c r="A453" s="138">
        <v>45926</v>
      </c>
      <c r="B453" s="141">
        <v>447</v>
      </c>
      <c r="C453" s="152">
        <v>45953</v>
      </c>
      <c r="D453" s="145">
        <v>0.40277777777777779</v>
      </c>
      <c r="E453" t="s">
        <v>2167</v>
      </c>
      <c r="F453" t="s">
        <v>2168</v>
      </c>
      <c r="G453" s="49" t="s">
        <v>957</v>
      </c>
      <c r="H453" t="s">
        <v>900</v>
      </c>
      <c r="I453" s="158" t="s">
        <v>2170</v>
      </c>
      <c r="J453" s="158" t="s">
        <v>2183</v>
      </c>
      <c r="K453" t="s">
        <v>2169</v>
      </c>
    </row>
    <row r="454" spans="1:12" ht="22.5" customHeight="1" x14ac:dyDescent="0.25">
      <c r="A454" s="138">
        <v>45926</v>
      </c>
      <c r="B454" s="141">
        <v>448</v>
      </c>
      <c r="C454" s="152">
        <v>45946</v>
      </c>
      <c r="D454" s="145">
        <v>0.41666666666666669</v>
      </c>
      <c r="E454" t="s">
        <v>2171</v>
      </c>
      <c r="F454" t="s">
        <v>2172</v>
      </c>
      <c r="G454" t="s">
        <v>718</v>
      </c>
      <c r="H454" t="s">
        <v>719</v>
      </c>
      <c r="I454" t="s">
        <v>2174</v>
      </c>
      <c r="J454" t="s">
        <v>1204</v>
      </c>
      <c r="K454" t="s">
        <v>2173</v>
      </c>
    </row>
    <row r="455" spans="1:12" ht="22.5" customHeight="1" x14ac:dyDescent="0.25">
      <c r="A455" s="138">
        <v>45926</v>
      </c>
      <c r="B455" s="141">
        <v>449</v>
      </c>
      <c r="C455" s="152">
        <v>45946</v>
      </c>
      <c r="D455" s="145">
        <v>0.4236111111111111</v>
      </c>
      <c r="E455" t="s">
        <v>2171</v>
      </c>
      <c r="F455" t="s">
        <v>2172</v>
      </c>
      <c r="G455" t="s">
        <v>718</v>
      </c>
      <c r="H455" t="s">
        <v>719</v>
      </c>
      <c r="I455" t="s">
        <v>2174</v>
      </c>
      <c r="J455" t="s">
        <v>1204</v>
      </c>
      <c r="K455" t="s">
        <v>2175</v>
      </c>
    </row>
    <row r="456" spans="1:12" ht="22.5" customHeight="1" x14ac:dyDescent="0.25">
      <c r="A456" s="138">
        <v>45926</v>
      </c>
      <c r="B456" s="141">
        <v>450</v>
      </c>
      <c r="C456" s="152">
        <v>45946</v>
      </c>
      <c r="D456" s="145">
        <v>0.43055555555555558</v>
      </c>
      <c r="E456" s="139" t="s">
        <v>2176</v>
      </c>
      <c r="F456" s="125" t="s">
        <v>2177</v>
      </c>
      <c r="G456" s="129" t="s">
        <v>1152</v>
      </c>
      <c r="H456" s="126" t="s">
        <v>737</v>
      </c>
      <c r="I456" s="124" t="s">
        <v>832</v>
      </c>
      <c r="J456" s="127" t="s">
        <v>2178</v>
      </c>
      <c r="K456" s="123" t="s">
        <v>2179</v>
      </c>
    </row>
    <row r="457" spans="1:12" ht="34.5" customHeight="1" x14ac:dyDescent="0.25">
      <c r="A457" s="138">
        <v>45926</v>
      </c>
      <c r="B457" s="141">
        <v>451</v>
      </c>
      <c r="C457" s="152">
        <v>45946</v>
      </c>
      <c r="D457" s="145">
        <v>0.4375</v>
      </c>
      <c r="E457" s="139" t="s">
        <v>2180</v>
      </c>
      <c r="F457" s="125" t="s">
        <v>2181</v>
      </c>
      <c r="G457" s="129" t="s">
        <v>2182</v>
      </c>
      <c r="H457" s="126" t="s">
        <v>880</v>
      </c>
      <c r="I457" s="168" t="s">
        <v>727</v>
      </c>
      <c r="J457" s="127" t="s">
        <v>728</v>
      </c>
      <c r="K457" s="123" t="s">
        <v>881</v>
      </c>
    </row>
    <row r="458" spans="1:12" ht="22.5" customHeight="1" x14ac:dyDescent="0.25">
      <c r="A458" s="138">
        <v>45926</v>
      </c>
      <c r="B458" s="141">
        <v>452</v>
      </c>
      <c r="C458" s="152">
        <v>45946</v>
      </c>
      <c r="D458" s="145">
        <v>0.44444444444444442</v>
      </c>
      <c r="E458" s="139" t="s">
        <v>2184</v>
      </c>
      <c r="F458" s="125" t="s">
        <v>2185</v>
      </c>
      <c r="G458" s="129" t="s">
        <v>2182</v>
      </c>
      <c r="H458" s="126" t="s">
        <v>880</v>
      </c>
      <c r="I458" s="168" t="s">
        <v>727</v>
      </c>
      <c r="J458" s="127" t="s">
        <v>728</v>
      </c>
      <c r="K458" s="123" t="s">
        <v>881</v>
      </c>
    </row>
    <row r="459" spans="1:12" ht="22.5" customHeight="1" x14ac:dyDescent="0.25">
      <c r="A459" s="138">
        <v>45926</v>
      </c>
      <c r="B459" s="141">
        <v>453</v>
      </c>
      <c r="C459" s="152">
        <v>45946</v>
      </c>
      <c r="D459" s="145">
        <v>0.4513888888888889</v>
      </c>
      <c r="E459" t="s">
        <v>2186</v>
      </c>
      <c r="F459" t="s">
        <v>2187</v>
      </c>
      <c r="G459" s="129" t="s">
        <v>2182</v>
      </c>
      <c r="H459" s="126" t="s">
        <v>880</v>
      </c>
      <c r="I459" s="168" t="s">
        <v>727</v>
      </c>
      <c r="J459" s="127" t="s">
        <v>728</v>
      </c>
      <c r="K459" s="123" t="s">
        <v>881</v>
      </c>
    </row>
    <row r="460" spans="1:12" ht="70" customHeight="1" x14ac:dyDescent="0.25">
      <c r="A460" s="138">
        <v>45929</v>
      </c>
      <c r="B460" s="141">
        <v>454</v>
      </c>
      <c r="C460" s="152">
        <v>45953</v>
      </c>
      <c r="D460" s="145">
        <v>0.40972222222222227</v>
      </c>
      <c r="E460" s="139" t="s">
        <v>2188</v>
      </c>
      <c r="F460" s="125" t="s">
        <v>2189</v>
      </c>
      <c r="G460" s="129" t="s">
        <v>1152</v>
      </c>
      <c r="H460" s="126" t="s">
        <v>737</v>
      </c>
      <c r="I460" s="124" t="s">
        <v>2190</v>
      </c>
      <c r="J460" s="127" t="s">
        <v>2191</v>
      </c>
      <c r="K460" s="123" t="s">
        <v>2192</v>
      </c>
      <c r="L460" s="41"/>
    </row>
    <row r="461" spans="1:12" ht="22.5" customHeight="1" x14ac:dyDescent="0.25">
      <c r="A461" s="138">
        <v>45929</v>
      </c>
      <c r="B461" s="141">
        <v>455</v>
      </c>
      <c r="C461" s="152">
        <v>45953</v>
      </c>
      <c r="D461" s="145">
        <v>0.41666666666666669</v>
      </c>
      <c r="E461" t="s">
        <v>2193</v>
      </c>
      <c r="F461" t="s">
        <v>2195</v>
      </c>
      <c r="G461" s="129" t="s">
        <v>1152</v>
      </c>
      <c r="H461" s="126" t="s">
        <v>737</v>
      </c>
      <c r="I461" s="124" t="s">
        <v>2190</v>
      </c>
      <c r="J461" s="127" t="s">
        <v>2191</v>
      </c>
      <c r="K461" t="s">
        <v>2194</v>
      </c>
    </row>
    <row r="462" spans="1:12" ht="22.5" customHeight="1" x14ac:dyDescent="0.25">
      <c r="A462" s="138">
        <v>45929</v>
      </c>
      <c r="B462" s="141">
        <v>456</v>
      </c>
      <c r="C462" s="152">
        <v>45953</v>
      </c>
      <c r="D462" s="145">
        <v>0.43055555555555558</v>
      </c>
      <c r="E462" t="s">
        <v>2196</v>
      </c>
      <c r="F462" t="s">
        <v>2197</v>
      </c>
      <c r="G462" s="129" t="s">
        <v>1152</v>
      </c>
      <c r="H462" s="126" t="s">
        <v>737</v>
      </c>
      <c r="I462" s="124" t="s">
        <v>2190</v>
      </c>
      <c r="J462" s="127" t="s">
        <v>2191</v>
      </c>
      <c r="K462" t="s">
        <v>2194</v>
      </c>
    </row>
    <row r="463" spans="1:12" ht="22.5" customHeight="1" x14ac:dyDescent="0.25">
      <c r="A463" s="138">
        <v>45929</v>
      </c>
      <c r="B463" s="141">
        <v>457</v>
      </c>
      <c r="C463" s="152">
        <v>45953</v>
      </c>
      <c r="D463" s="145">
        <v>0.4375</v>
      </c>
      <c r="E463" t="s">
        <v>2198</v>
      </c>
      <c r="F463" t="s">
        <v>2199</v>
      </c>
      <c r="G463" s="129" t="s">
        <v>1152</v>
      </c>
      <c r="H463" s="126" t="s">
        <v>737</v>
      </c>
      <c r="I463" s="124" t="s">
        <v>2200</v>
      </c>
      <c r="J463" s="127" t="s">
        <v>2191</v>
      </c>
      <c r="K463" t="s">
        <v>2194</v>
      </c>
    </row>
    <row r="464" spans="1:12" ht="22.5" customHeight="1" x14ac:dyDescent="0.25">
      <c r="A464" s="138">
        <v>45929</v>
      </c>
      <c r="B464" s="141">
        <v>458</v>
      </c>
      <c r="C464" s="152">
        <v>45946</v>
      </c>
      <c r="D464" s="145">
        <v>0.45833333333333331</v>
      </c>
      <c r="E464" s="139" t="s">
        <v>2201</v>
      </c>
      <c r="F464" s="125" t="s">
        <v>2202</v>
      </c>
      <c r="G464" s="129" t="s">
        <v>718</v>
      </c>
      <c r="H464" s="126" t="s">
        <v>719</v>
      </c>
      <c r="I464" s="128" t="s">
        <v>2203</v>
      </c>
      <c r="J464" s="127" t="s">
        <v>2204</v>
      </c>
      <c r="K464" s="123" t="s">
        <v>1028</v>
      </c>
    </row>
    <row r="465" spans="1:58" ht="22.5" customHeight="1" x14ac:dyDescent="0.25">
      <c r="A465" s="138"/>
      <c r="B465" s="141"/>
      <c r="C465" s="152"/>
      <c r="D465" s="145"/>
      <c r="E465" s="139"/>
      <c r="F465" s="125"/>
      <c r="G465" s="129"/>
      <c r="H465" s="126"/>
      <c r="I465" s="128"/>
      <c r="J465" s="127"/>
      <c r="K465" s="123"/>
    </row>
    <row r="466" spans="1:58" ht="22.5" customHeight="1" x14ac:dyDescent="0.25">
      <c r="A466" s="138"/>
      <c r="B466" s="141"/>
      <c r="C466" s="152"/>
      <c r="D466" s="145"/>
      <c r="E466" s="139"/>
      <c r="F466" s="125"/>
      <c r="G466" s="129"/>
      <c r="H466" s="126"/>
      <c r="I466" s="128"/>
      <c r="J466" s="127"/>
      <c r="K466" s="123"/>
    </row>
    <row r="467" spans="1:58" ht="39" customHeight="1" x14ac:dyDescent="0.25">
      <c r="A467" s="138"/>
      <c r="B467" s="155"/>
      <c r="C467" s="153"/>
      <c r="D467" s="148"/>
      <c r="E467" s="140"/>
      <c r="F467" s="125"/>
      <c r="G467" s="129"/>
      <c r="H467" s="126"/>
      <c r="I467" s="128"/>
      <c r="J467" s="127"/>
      <c r="K467" s="123"/>
    </row>
    <row r="468" spans="1:58" ht="22.5" customHeight="1" x14ac:dyDescent="0.25">
      <c r="A468" s="138"/>
      <c r="B468" s="141"/>
      <c r="C468" s="152"/>
      <c r="D468" s="145"/>
      <c r="E468" s="139"/>
      <c r="F468" s="125"/>
      <c r="G468" s="129"/>
      <c r="H468" s="126"/>
      <c r="I468" s="128"/>
      <c r="J468" s="127"/>
      <c r="K468" s="123"/>
    </row>
    <row r="469" spans="1:58" ht="22.5" customHeight="1" x14ac:dyDescent="0.25">
      <c r="A469" s="138"/>
      <c r="B469" s="141"/>
      <c r="C469" s="152"/>
      <c r="D469" s="145"/>
      <c r="E469" s="137"/>
      <c r="F469" s="142"/>
      <c r="G469" s="129"/>
      <c r="H469" s="126"/>
      <c r="I469" s="130"/>
      <c r="J469" s="127"/>
      <c r="K469" s="13"/>
    </row>
    <row r="470" spans="1:58" ht="22.5" customHeight="1" x14ac:dyDescent="0.25">
      <c r="A470" s="138"/>
      <c r="B470" s="141"/>
      <c r="C470" s="152"/>
      <c r="D470" s="145"/>
      <c r="E470" s="137"/>
      <c r="F470" s="142"/>
      <c r="G470" s="129"/>
      <c r="H470" s="126"/>
      <c r="I470" s="130"/>
      <c r="J470" s="127"/>
      <c r="K470" s="13"/>
    </row>
    <row r="471" spans="1:58" ht="22.5" customHeight="1" x14ac:dyDescent="0.25">
      <c r="A471" s="138"/>
      <c r="B471" s="141"/>
      <c r="C471" s="152"/>
      <c r="D471" s="145"/>
      <c r="E471" s="137"/>
      <c r="F471" s="142"/>
      <c r="G471" s="129"/>
      <c r="H471" s="126"/>
      <c r="I471" s="130"/>
      <c r="J471" s="127"/>
      <c r="K471" s="13"/>
    </row>
    <row r="472" spans="1:58" ht="22.5" customHeight="1" x14ac:dyDescent="0.25">
      <c r="A472" s="138"/>
      <c r="B472" s="141"/>
      <c r="C472" s="152"/>
      <c r="D472" s="145"/>
      <c r="E472" s="137"/>
      <c r="F472" s="142"/>
      <c r="G472" s="129"/>
      <c r="H472" s="126"/>
      <c r="I472" s="130"/>
      <c r="J472" s="127"/>
      <c r="K472" s="13"/>
    </row>
    <row r="473" spans="1:58" ht="22.5" customHeight="1" x14ac:dyDescent="0.25">
      <c r="A473" s="138"/>
      <c r="B473" s="141"/>
      <c r="C473" s="152"/>
      <c r="D473" s="145"/>
      <c r="E473" s="137"/>
      <c r="F473" s="142"/>
      <c r="G473" s="129"/>
      <c r="H473" s="126"/>
      <c r="I473" s="130"/>
      <c r="J473" s="127"/>
      <c r="K473" s="13"/>
    </row>
    <row r="474" spans="1:58" ht="22.5" customHeight="1" x14ac:dyDescent="0.25">
      <c r="A474" s="138"/>
      <c r="B474" s="141"/>
      <c r="C474" s="152"/>
      <c r="D474" s="145"/>
      <c r="E474" s="137"/>
      <c r="F474" s="142"/>
      <c r="G474" s="129"/>
      <c r="H474" s="126"/>
      <c r="I474" s="130"/>
      <c r="J474" s="127"/>
      <c r="K474" s="13"/>
    </row>
    <row r="475" spans="1:58" ht="29.25" customHeight="1" x14ac:dyDescent="0.25">
      <c r="A475" s="138"/>
      <c r="B475" s="141"/>
      <c r="C475" s="152"/>
      <c r="D475" s="145"/>
      <c r="E475" s="137"/>
      <c r="F475" s="142"/>
      <c r="G475" s="129"/>
      <c r="H475" s="126"/>
      <c r="I475" s="130"/>
      <c r="J475" s="127"/>
      <c r="K475" s="13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</row>
    <row r="476" spans="1:58" ht="22.5" customHeight="1" x14ac:dyDescent="0.25">
      <c r="A476" s="138"/>
      <c r="B476" s="141"/>
      <c r="C476" s="152"/>
      <c r="D476" s="145"/>
      <c r="E476" s="137"/>
      <c r="F476" s="142"/>
      <c r="G476" s="129"/>
      <c r="H476" s="126"/>
      <c r="I476" s="129"/>
      <c r="J476" s="127"/>
      <c r="K476" s="13"/>
    </row>
    <row r="477" spans="1:58" ht="22.5" customHeight="1" x14ac:dyDescent="0.25">
      <c r="A477" s="138"/>
      <c r="B477" s="141"/>
      <c r="C477" s="152"/>
      <c r="D477" s="145"/>
      <c r="E477" s="137"/>
      <c r="F477" s="142"/>
      <c r="G477" s="129"/>
      <c r="H477" s="126"/>
      <c r="I477" s="130"/>
      <c r="J477" s="127"/>
      <c r="K477" s="13"/>
    </row>
    <row r="478" spans="1:58" ht="22.5" customHeight="1" x14ac:dyDescent="0.25">
      <c r="A478" s="138"/>
      <c r="B478" s="141"/>
      <c r="C478" s="152"/>
      <c r="D478" s="145"/>
      <c r="E478" s="137"/>
      <c r="F478" s="142"/>
      <c r="G478" s="129"/>
      <c r="H478" s="126"/>
      <c r="I478" s="130"/>
      <c r="J478" s="127"/>
      <c r="K478" s="13"/>
    </row>
    <row r="479" spans="1:58" ht="22.5" customHeight="1" x14ac:dyDescent="0.25">
      <c r="A479" s="138"/>
      <c r="B479" s="141"/>
      <c r="C479" s="152"/>
      <c r="D479" s="145"/>
      <c r="E479" s="137"/>
      <c r="F479" s="142"/>
      <c r="G479" s="129"/>
      <c r="H479" s="126"/>
      <c r="I479" s="130"/>
      <c r="J479" s="127"/>
      <c r="K479" s="13"/>
    </row>
    <row r="480" spans="1:58" ht="22.5" customHeight="1" x14ac:dyDescent="0.25">
      <c r="A480" s="138"/>
      <c r="B480" s="141"/>
      <c r="C480" s="152"/>
      <c r="D480" s="145"/>
      <c r="E480" s="137"/>
      <c r="F480" s="142"/>
      <c r="G480" s="129"/>
      <c r="H480" s="126"/>
      <c r="I480" s="130"/>
      <c r="J480" s="127"/>
      <c r="K480" s="13"/>
    </row>
    <row r="481" spans="1:12" ht="22.5" customHeight="1" x14ac:dyDescent="0.25">
      <c r="A481" s="138"/>
      <c r="B481" s="141"/>
      <c r="C481" s="152"/>
      <c r="D481" s="145"/>
      <c r="E481" s="137"/>
      <c r="F481" s="142"/>
      <c r="G481" s="129"/>
      <c r="H481" s="126"/>
      <c r="I481" s="130"/>
      <c r="J481" s="127"/>
      <c r="K481" s="13"/>
    </row>
    <row r="482" spans="1:12" ht="22.5" customHeight="1" x14ac:dyDescent="0.25">
      <c r="A482" s="138"/>
      <c r="B482" s="141"/>
      <c r="C482" s="152"/>
      <c r="D482" s="145"/>
      <c r="E482" s="137"/>
      <c r="F482" s="142"/>
      <c r="G482" s="129"/>
      <c r="H482" s="126"/>
      <c r="I482" s="130"/>
      <c r="J482" s="127"/>
      <c r="K482" s="13"/>
    </row>
    <row r="483" spans="1:12" ht="22.5" customHeight="1" x14ac:dyDescent="0.25">
      <c r="A483" s="138"/>
      <c r="B483" s="141"/>
      <c r="C483" s="152"/>
      <c r="D483" s="145"/>
      <c r="E483" s="137"/>
      <c r="F483" s="142"/>
      <c r="G483" s="129"/>
      <c r="H483" s="126"/>
      <c r="I483" s="130"/>
      <c r="J483" s="127"/>
      <c r="K483" s="13"/>
    </row>
    <row r="484" spans="1:12" ht="22.5" customHeight="1" x14ac:dyDescent="0.25">
      <c r="A484" s="138"/>
      <c r="B484" s="141"/>
      <c r="C484" s="152"/>
      <c r="D484" s="145"/>
      <c r="E484" s="137"/>
      <c r="F484" s="142"/>
      <c r="G484" s="129"/>
      <c r="H484" s="126"/>
      <c r="I484" s="130"/>
      <c r="J484" s="127"/>
      <c r="K484" s="13"/>
    </row>
    <row r="485" spans="1:12" ht="22.5" customHeight="1" x14ac:dyDescent="0.25">
      <c r="A485" s="138"/>
      <c r="B485" s="141"/>
      <c r="C485" s="152"/>
      <c r="D485" s="145"/>
      <c r="E485" s="137"/>
      <c r="F485" s="142"/>
      <c r="G485" s="129"/>
      <c r="H485" s="126"/>
      <c r="I485" s="131"/>
      <c r="J485" s="132"/>
      <c r="K485" s="103"/>
    </row>
    <row r="486" spans="1:12" ht="22.5" customHeight="1" x14ac:dyDescent="0.25">
      <c r="A486" s="138"/>
      <c r="B486" s="141"/>
      <c r="C486" s="152"/>
      <c r="D486" s="145"/>
      <c r="E486" s="137"/>
      <c r="F486" s="142"/>
      <c r="G486" s="129"/>
      <c r="H486" s="166"/>
      <c r="I486" s="133"/>
      <c r="J486" s="134"/>
      <c r="K486" s="105"/>
      <c r="L486" s="102"/>
    </row>
    <row r="487" spans="1:12" ht="22.5" customHeight="1" x14ac:dyDescent="0.25">
      <c r="A487" s="138"/>
      <c r="B487" s="141"/>
      <c r="C487" s="152"/>
      <c r="D487" s="145"/>
      <c r="E487" s="137"/>
      <c r="F487" s="142"/>
      <c r="G487" s="129"/>
      <c r="H487" s="166"/>
      <c r="I487" s="133"/>
      <c r="J487" s="134"/>
      <c r="K487" s="105"/>
      <c r="L487" s="102"/>
    </row>
    <row r="488" spans="1:12" ht="22.5" customHeight="1" x14ac:dyDescent="0.25">
      <c r="A488" s="138"/>
      <c r="B488" s="141"/>
      <c r="C488" s="152"/>
      <c r="D488" s="145"/>
      <c r="E488" s="137"/>
      <c r="F488" s="142"/>
      <c r="G488" s="129"/>
      <c r="H488" s="126"/>
      <c r="I488" s="135"/>
      <c r="J488" s="136"/>
      <c r="K488" s="104"/>
    </row>
    <row r="489" spans="1:12" ht="22.5" customHeight="1" x14ac:dyDescent="0.25">
      <c r="A489" s="138"/>
      <c r="B489" s="141"/>
      <c r="C489" s="152"/>
      <c r="D489" s="145"/>
      <c r="E489" s="137"/>
      <c r="F489" s="142"/>
      <c r="G489" s="129"/>
      <c r="H489" s="126"/>
      <c r="I489" s="130"/>
      <c r="J489" s="127"/>
      <c r="K489" s="13"/>
    </row>
    <row r="490" spans="1:12" ht="22.5" customHeight="1" x14ac:dyDescent="0.25">
      <c r="A490" s="138"/>
      <c r="B490" s="141"/>
      <c r="C490" s="152"/>
      <c r="D490" s="145"/>
      <c r="E490" s="137"/>
      <c r="F490" s="142"/>
      <c r="G490" s="129"/>
      <c r="H490" s="126"/>
      <c r="I490" s="130"/>
      <c r="J490" s="127"/>
      <c r="K490" s="13"/>
    </row>
    <row r="491" spans="1:12" ht="22.5" customHeight="1" x14ac:dyDescent="0.25">
      <c r="A491" s="138"/>
      <c r="B491" s="141"/>
      <c r="C491" s="152"/>
      <c r="D491" s="145"/>
      <c r="E491" s="137"/>
      <c r="F491" s="142"/>
      <c r="G491" s="129"/>
      <c r="H491" s="126"/>
      <c r="I491" s="130"/>
      <c r="J491" s="127"/>
      <c r="K491" s="13"/>
    </row>
    <row r="492" spans="1:12" ht="22.5" customHeight="1" x14ac:dyDescent="0.25">
      <c r="A492" s="138"/>
      <c r="B492" s="141"/>
      <c r="C492" s="152"/>
      <c r="D492" s="145"/>
      <c r="E492" s="137"/>
      <c r="F492" s="142"/>
      <c r="G492" s="129"/>
      <c r="H492" s="126"/>
      <c r="I492" s="130"/>
      <c r="J492" s="127"/>
      <c r="K492" s="13"/>
    </row>
    <row r="493" spans="1:12" ht="22.5" customHeight="1" x14ac:dyDescent="0.25">
      <c r="A493" s="138"/>
      <c r="B493" s="141"/>
      <c r="C493" s="152"/>
      <c r="D493" s="145"/>
      <c r="E493" s="137"/>
      <c r="F493" s="142"/>
      <c r="G493" s="129"/>
      <c r="H493" s="126"/>
      <c r="I493" s="130"/>
      <c r="J493" s="127"/>
      <c r="K493" s="13"/>
    </row>
    <row r="494" spans="1:12" ht="22.5" customHeight="1" x14ac:dyDescent="0.25">
      <c r="A494" s="138"/>
      <c r="B494" s="141"/>
      <c r="C494" s="152"/>
      <c r="D494" s="145"/>
      <c r="E494" s="137"/>
      <c r="F494" s="142"/>
      <c r="G494" s="129"/>
      <c r="H494" s="126"/>
      <c r="I494" s="130"/>
      <c r="J494" s="127"/>
      <c r="K494" s="13"/>
    </row>
    <row r="495" spans="1:12" ht="22.5" customHeight="1" x14ac:dyDescent="0.25">
      <c r="A495" s="138"/>
      <c r="B495" s="141"/>
      <c r="C495" s="152"/>
      <c r="D495" s="145"/>
      <c r="E495" s="137"/>
      <c r="F495" s="142"/>
      <c r="G495" s="129"/>
      <c r="H495" s="126"/>
      <c r="I495" s="130"/>
      <c r="J495" s="127"/>
      <c r="K495" s="13"/>
    </row>
    <row r="496" spans="1:12" ht="22.5" customHeight="1" x14ac:dyDescent="0.25">
      <c r="A496" s="138"/>
      <c r="B496" s="141"/>
      <c r="C496" s="152"/>
      <c r="D496" s="145"/>
      <c r="E496" s="137"/>
      <c r="F496" s="142"/>
      <c r="G496" s="129"/>
      <c r="H496" s="126"/>
      <c r="I496" s="130"/>
      <c r="J496" s="127"/>
      <c r="K496" s="13"/>
    </row>
    <row r="497" spans="1:58" ht="91.4" customHeight="1" x14ac:dyDescent="0.25">
      <c r="A497" s="138"/>
      <c r="B497" s="141"/>
      <c r="C497" s="152"/>
      <c r="D497" s="145"/>
      <c r="E497" s="137"/>
      <c r="F497" s="142"/>
      <c r="G497" s="129"/>
      <c r="H497" s="126"/>
      <c r="I497" s="137"/>
      <c r="J497" s="129"/>
      <c r="K497" s="13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</row>
    <row r="498" spans="1:58" ht="22.5" customHeight="1" x14ac:dyDescent="0.25">
      <c r="A498" s="138"/>
      <c r="B498" s="141"/>
      <c r="C498" s="152"/>
      <c r="D498" s="145"/>
      <c r="E498" s="137"/>
      <c r="F498" s="142"/>
      <c r="G498" s="129"/>
      <c r="H498" s="126"/>
      <c r="I498" s="130"/>
      <c r="J498" s="127"/>
      <c r="K498" s="13"/>
    </row>
    <row r="499" spans="1:58" ht="22.5" customHeight="1" x14ac:dyDescent="0.25">
      <c r="A499" s="138"/>
      <c r="B499" s="141"/>
      <c r="C499" s="152"/>
      <c r="D499" s="145"/>
      <c r="E499" s="137"/>
      <c r="F499" s="142"/>
      <c r="G499" s="129"/>
      <c r="H499" s="126"/>
      <c r="I499" s="130"/>
      <c r="J499" s="127"/>
      <c r="K499" s="13"/>
    </row>
    <row r="500" spans="1:58" ht="22.5" customHeight="1" x14ac:dyDescent="0.25">
      <c r="A500" s="138"/>
      <c r="B500" s="141"/>
      <c r="C500" s="152"/>
      <c r="D500" s="145"/>
      <c r="E500" s="137"/>
      <c r="F500" s="142"/>
      <c r="G500" s="129"/>
      <c r="H500" s="126"/>
      <c r="I500" s="130"/>
      <c r="J500" s="127"/>
      <c r="K500" s="13"/>
    </row>
    <row r="501" spans="1:58" ht="22.5" customHeight="1" x14ac:dyDescent="0.25">
      <c r="A501" s="138"/>
      <c r="B501" s="141"/>
      <c r="C501" s="152"/>
      <c r="D501" s="145"/>
      <c r="E501" s="137"/>
      <c r="F501" s="142"/>
      <c r="G501" s="129"/>
      <c r="H501" s="126"/>
      <c r="I501" s="130"/>
      <c r="J501" s="127"/>
      <c r="K501" s="13"/>
    </row>
    <row r="502" spans="1:58" ht="22.5" customHeight="1" x14ac:dyDescent="0.25">
      <c r="A502" s="138"/>
      <c r="B502" s="141"/>
      <c r="C502" s="152"/>
      <c r="D502" s="145"/>
      <c r="E502" s="137"/>
      <c r="F502" s="142"/>
      <c r="G502" s="129"/>
      <c r="H502" s="126"/>
      <c r="I502" s="130"/>
      <c r="J502" s="127"/>
      <c r="K502" s="13"/>
    </row>
    <row r="503" spans="1:58" ht="22.5" customHeight="1" x14ac:dyDescent="0.25">
      <c r="A503" s="138"/>
      <c r="B503" s="141"/>
      <c r="C503" s="152"/>
      <c r="D503" s="145"/>
      <c r="E503" s="137"/>
      <c r="F503" s="142"/>
      <c r="G503" s="129"/>
      <c r="H503" s="126"/>
      <c r="I503" s="130"/>
      <c r="J503" s="127"/>
      <c r="K503" s="13"/>
    </row>
    <row r="504" spans="1:58" ht="22.5" customHeight="1" x14ac:dyDescent="0.25">
      <c r="A504" s="138"/>
      <c r="B504" s="141"/>
      <c r="C504" s="152"/>
      <c r="D504" s="145"/>
      <c r="E504" s="137"/>
      <c r="F504" s="142"/>
      <c r="G504" s="129"/>
      <c r="H504" s="126"/>
      <c r="I504" s="130"/>
      <c r="J504" s="127"/>
      <c r="K504" s="13"/>
    </row>
    <row r="505" spans="1:58" ht="22.5" customHeight="1" x14ac:dyDescent="0.25">
      <c r="A505" s="138"/>
      <c r="B505" s="141"/>
      <c r="C505" s="152"/>
      <c r="D505" s="145"/>
      <c r="E505" s="137"/>
      <c r="F505" s="142"/>
      <c r="G505" s="129"/>
      <c r="H505" s="126"/>
      <c r="I505" s="130"/>
      <c r="J505" s="127"/>
      <c r="K505" s="13"/>
    </row>
    <row r="506" spans="1:58" ht="22.5" customHeight="1" x14ac:dyDescent="0.25">
      <c r="A506" s="138"/>
      <c r="B506" s="141"/>
      <c r="C506" s="152"/>
      <c r="D506" s="145"/>
      <c r="E506" s="137"/>
      <c r="F506" s="142"/>
      <c r="G506" s="129"/>
      <c r="H506" s="126"/>
      <c r="I506" s="130"/>
      <c r="J506" s="127"/>
      <c r="K506" s="13"/>
    </row>
    <row r="507" spans="1:58" ht="22.5" customHeight="1" x14ac:dyDescent="0.25">
      <c r="A507" s="138"/>
      <c r="B507" s="141"/>
      <c r="C507" s="152"/>
      <c r="D507" s="145"/>
      <c r="E507" s="137"/>
      <c r="F507" s="142"/>
      <c r="G507" s="129"/>
      <c r="H507" s="126"/>
      <c r="I507" s="130"/>
      <c r="J507" s="127"/>
      <c r="K507" s="13"/>
    </row>
    <row r="508" spans="1:58" ht="22.5" customHeight="1" x14ac:dyDescent="0.25">
      <c r="A508" s="138"/>
      <c r="B508" s="141"/>
      <c r="C508" s="152"/>
      <c r="D508" s="145"/>
      <c r="E508" s="137"/>
      <c r="F508" s="142"/>
      <c r="G508" s="129"/>
      <c r="H508" s="126"/>
      <c r="I508" s="130"/>
      <c r="J508" s="127"/>
      <c r="K508" s="13"/>
    </row>
    <row r="509" spans="1:58" ht="22.5" customHeight="1" x14ac:dyDescent="0.25">
      <c r="A509" s="138"/>
      <c r="B509" s="141"/>
      <c r="C509" s="152"/>
      <c r="D509" s="145"/>
      <c r="E509" s="137"/>
      <c r="F509" s="142"/>
      <c r="G509" s="129"/>
      <c r="H509" s="126"/>
      <c r="I509" s="130"/>
      <c r="J509" s="127"/>
      <c r="K509" s="13"/>
    </row>
    <row r="510" spans="1:58" ht="22.5" customHeight="1" x14ac:dyDescent="0.25">
      <c r="A510" s="138"/>
      <c r="B510" s="141"/>
      <c r="C510" s="152"/>
      <c r="D510" s="145"/>
      <c r="E510" s="137"/>
      <c r="F510" s="142"/>
      <c r="G510" s="129"/>
      <c r="H510" s="126"/>
      <c r="I510" s="130"/>
      <c r="J510" s="127"/>
      <c r="K510" s="13"/>
    </row>
    <row r="511" spans="1:58" ht="22.5" customHeight="1" x14ac:dyDescent="0.25">
      <c r="A511" s="138"/>
      <c r="B511" s="141"/>
      <c r="C511" s="152"/>
      <c r="D511" s="145"/>
      <c r="E511" s="137"/>
      <c r="F511" s="142"/>
      <c r="G511" s="129"/>
      <c r="H511" s="126"/>
      <c r="I511" s="13"/>
      <c r="J511" s="63"/>
      <c r="K511" s="13"/>
    </row>
    <row r="512" spans="1:58" ht="22.5" customHeight="1" x14ac:dyDescent="0.25">
      <c r="A512" s="138"/>
      <c r="B512" s="141"/>
      <c r="C512" s="152"/>
      <c r="D512" s="145"/>
      <c r="E512" s="137"/>
      <c r="F512" s="142"/>
      <c r="G512" s="129"/>
      <c r="H512" s="126"/>
      <c r="I512" s="43"/>
      <c r="K512" s="13"/>
    </row>
    <row r="513" spans="1:58" ht="115.75" customHeight="1" x14ac:dyDescent="0.25">
      <c r="A513" s="138"/>
      <c r="B513" s="141"/>
      <c r="C513" s="152"/>
      <c r="D513" s="145"/>
      <c r="E513" s="137"/>
      <c r="F513" s="142"/>
      <c r="G513" s="129"/>
      <c r="H513" s="126"/>
      <c r="I513" s="43"/>
      <c r="K513" s="13"/>
    </row>
    <row r="514" spans="1:58" ht="22.5" customHeight="1" x14ac:dyDescent="0.25">
      <c r="A514" s="138"/>
      <c r="B514" s="141"/>
      <c r="C514" s="152"/>
      <c r="D514" s="145"/>
      <c r="E514" s="137"/>
      <c r="F514" s="142"/>
      <c r="G514" s="129"/>
      <c r="H514" s="126"/>
      <c r="K514" s="43"/>
    </row>
    <row r="515" spans="1:58" s="107" customFormat="1" ht="30" customHeight="1" x14ac:dyDescent="0.25">
      <c r="A515" s="143"/>
      <c r="B515" s="141"/>
      <c r="C515" s="152"/>
      <c r="D515" s="145"/>
      <c r="E515" s="137"/>
      <c r="F515" s="142"/>
      <c r="G515" s="129"/>
      <c r="H515" s="126"/>
      <c r="I515" s="31"/>
      <c r="J515" s="62"/>
      <c r="K515" s="13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</row>
    <row r="516" spans="1:58" ht="28.4" customHeight="1" x14ac:dyDescent="0.25">
      <c r="A516" s="138"/>
      <c r="B516" s="141"/>
      <c r="C516" s="152"/>
      <c r="D516" s="145"/>
      <c r="E516" s="137"/>
      <c r="F516" s="142"/>
      <c r="G516" s="129"/>
      <c r="H516" s="126"/>
      <c r="I516" s="31"/>
      <c r="J516" s="62"/>
      <c r="K516" s="13"/>
    </row>
    <row r="517" spans="1:58" ht="22.5" customHeight="1" x14ac:dyDescent="0.25">
      <c r="A517" s="138"/>
      <c r="B517" s="141"/>
      <c r="C517" s="152"/>
      <c r="D517" s="145"/>
      <c r="E517" s="137"/>
      <c r="F517" s="142"/>
      <c r="G517" s="129"/>
      <c r="H517" s="126"/>
      <c r="I517" s="43"/>
      <c r="K517" s="13"/>
    </row>
    <row r="518" spans="1:58" ht="22.5" customHeight="1" x14ac:dyDescent="0.25">
      <c r="A518" s="138"/>
      <c r="B518" s="141"/>
      <c r="C518" s="152"/>
      <c r="D518" s="145"/>
      <c r="E518" s="137"/>
      <c r="F518" s="142"/>
      <c r="G518" s="129"/>
      <c r="H518" s="126"/>
      <c r="I518" s="43"/>
      <c r="K518" s="13"/>
    </row>
    <row r="519" spans="1:58" ht="30" customHeight="1" x14ac:dyDescent="0.25">
      <c r="A519" s="138"/>
      <c r="B519" s="141"/>
      <c r="C519" s="152"/>
      <c r="D519" s="145"/>
      <c r="E519" s="137"/>
      <c r="F519" s="142"/>
      <c r="G519" s="129"/>
      <c r="H519" s="126"/>
      <c r="I519" s="31"/>
      <c r="J519" s="62"/>
      <c r="K519" s="13"/>
    </row>
    <row r="520" spans="1:58" ht="32.5" customHeight="1" x14ac:dyDescent="0.25">
      <c r="A520" s="138"/>
      <c r="B520" s="141"/>
      <c r="C520" s="152"/>
      <c r="D520" s="145"/>
      <c r="E520" s="137"/>
      <c r="F520" s="142"/>
      <c r="G520" s="129"/>
      <c r="H520" s="126"/>
      <c r="I520" s="31"/>
      <c r="J520" s="62"/>
      <c r="K520" s="13"/>
    </row>
    <row r="521" spans="1:58" ht="22.5" customHeight="1" x14ac:dyDescent="0.25">
      <c r="A521" s="138"/>
      <c r="B521" s="141"/>
      <c r="C521" s="152"/>
      <c r="D521" s="145"/>
      <c r="E521" s="137"/>
      <c r="F521" s="142"/>
      <c r="G521" s="129"/>
      <c r="H521" s="126"/>
      <c r="I521" s="43"/>
      <c r="K521" s="13"/>
    </row>
    <row r="522" spans="1:58" ht="22.5" customHeight="1" x14ac:dyDescent="0.25">
      <c r="A522" s="138"/>
      <c r="B522" s="141"/>
      <c r="C522" s="152"/>
      <c r="D522" s="145"/>
      <c r="E522" s="137"/>
      <c r="F522" s="142"/>
      <c r="G522" s="129"/>
      <c r="H522" s="126"/>
      <c r="I522" s="43"/>
      <c r="K522" s="13"/>
    </row>
    <row r="523" spans="1:58" ht="29.5" customHeight="1" x14ac:dyDescent="0.25">
      <c r="A523" s="138"/>
      <c r="B523" s="141"/>
      <c r="C523" s="152"/>
      <c r="D523" s="145"/>
      <c r="E523" s="137"/>
      <c r="F523" s="142"/>
      <c r="G523" s="129"/>
      <c r="H523" s="126"/>
      <c r="I523" s="31"/>
      <c r="J523" s="62"/>
      <c r="K523" s="13"/>
    </row>
    <row r="524" spans="1:58" ht="22.5" customHeight="1" x14ac:dyDescent="0.25">
      <c r="A524" s="138"/>
      <c r="B524" s="141"/>
      <c r="C524" s="152"/>
      <c r="D524" s="145"/>
      <c r="E524" s="137"/>
      <c r="F524" s="142"/>
      <c r="G524" s="129"/>
      <c r="H524" s="126"/>
      <c r="I524" s="43"/>
      <c r="K524" s="13"/>
    </row>
    <row r="525" spans="1:58" ht="22.5" customHeight="1" x14ac:dyDescent="0.25">
      <c r="A525" s="138"/>
      <c r="B525" s="141"/>
      <c r="C525" s="152"/>
      <c r="D525" s="145"/>
      <c r="E525" s="137"/>
      <c r="F525" s="142"/>
      <c r="G525" s="129"/>
      <c r="H525" s="126"/>
      <c r="I525" s="43"/>
      <c r="K525" s="13"/>
    </row>
    <row r="526" spans="1:58" ht="22.5" customHeight="1" x14ac:dyDescent="0.25">
      <c r="A526" s="138"/>
      <c r="B526" s="141"/>
      <c r="C526" s="152"/>
      <c r="D526" s="145"/>
      <c r="E526" s="137"/>
      <c r="F526" s="142"/>
      <c r="G526" s="129"/>
      <c r="H526" s="126"/>
      <c r="I526" s="43"/>
      <c r="K526" s="13"/>
    </row>
    <row r="527" spans="1:58" ht="22.5" customHeight="1" x14ac:dyDescent="0.25">
      <c r="A527" s="138"/>
      <c r="B527" s="141"/>
      <c r="C527" s="152"/>
      <c r="D527" s="145"/>
      <c r="E527" s="137"/>
      <c r="F527" s="142"/>
      <c r="G527" s="129"/>
      <c r="H527" s="126"/>
      <c r="I527" s="43"/>
      <c r="K527" s="13"/>
    </row>
    <row r="528" spans="1:58" ht="22.5" customHeight="1" x14ac:dyDescent="0.25">
      <c r="A528" s="138"/>
      <c r="B528" s="141"/>
      <c r="C528" s="152"/>
      <c r="D528" s="145"/>
      <c r="E528" s="137"/>
      <c r="F528" s="142"/>
      <c r="G528" s="129"/>
      <c r="H528" s="126"/>
      <c r="I528" s="43"/>
      <c r="K528" s="13"/>
    </row>
    <row r="529" spans="1:11" ht="78.650000000000006" customHeight="1" x14ac:dyDescent="0.25">
      <c r="A529" s="138"/>
      <c r="B529" s="141"/>
      <c r="C529" s="152"/>
      <c r="D529" s="145"/>
      <c r="E529" s="137"/>
      <c r="F529" s="142"/>
      <c r="G529" s="129"/>
      <c r="H529" s="126"/>
      <c r="I529" s="13"/>
      <c r="J529" s="62"/>
      <c r="K529" s="13"/>
    </row>
    <row r="530" spans="1:11" ht="64.400000000000006" customHeight="1" x14ac:dyDescent="0.25">
      <c r="A530" s="138"/>
      <c r="B530" s="141"/>
      <c r="C530" s="152"/>
      <c r="D530" s="145"/>
      <c r="E530" s="137"/>
      <c r="F530" s="142"/>
      <c r="G530" s="129"/>
      <c r="H530" s="126"/>
      <c r="I530" s="13"/>
      <c r="J530" s="62"/>
      <c r="K530" s="13"/>
    </row>
    <row r="531" spans="1:11" ht="68.150000000000006" customHeight="1" x14ac:dyDescent="0.25">
      <c r="A531" s="138"/>
      <c r="B531" s="141"/>
      <c r="C531" s="152"/>
      <c r="D531" s="145"/>
      <c r="E531" s="137"/>
      <c r="F531" s="142"/>
      <c r="G531" s="129"/>
      <c r="H531" s="126"/>
      <c r="I531" s="13"/>
      <c r="J531" s="62"/>
      <c r="K531" s="13"/>
    </row>
    <row r="532" spans="1:11" ht="63.65" customHeight="1" x14ac:dyDescent="0.25">
      <c r="A532" s="138"/>
      <c r="B532" s="141"/>
      <c r="C532" s="152"/>
      <c r="D532" s="145"/>
      <c r="E532" s="137"/>
      <c r="F532" s="142"/>
      <c r="G532" s="129"/>
      <c r="H532" s="126"/>
      <c r="I532" s="13"/>
      <c r="J532" s="62"/>
      <c r="K532" s="13"/>
    </row>
    <row r="533" spans="1:11" ht="22.5" customHeight="1" x14ac:dyDescent="0.25">
      <c r="A533" s="138"/>
      <c r="B533" s="141"/>
      <c r="C533" s="152"/>
      <c r="D533" s="145"/>
      <c r="E533" s="137"/>
      <c r="F533" s="142"/>
      <c r="G533" s="129"/>
      <c r="H533" s="126"/>
      <c r="I533" s="13"/>
      <c r="J533" s="62"/>
      <c r="K533" s="13"/>
    </row>
    <row r="534" spans="1:11" ht="22.5" customHeight="1" x14ac:dyDescent="0.25">
      <c r="A534" s="138"/>
      <c r="B534" s="141"/>
      <c r="C534" s="152"/>
      <c r="D534" s="145"/>
      <c r="E534" s="137"/>
      <c r="F534" s="142"/>
      <c r="G534" s="129"/>
      <c r="H534" s="126"/>
      <c r="I534" s="13"/>
      <c r="J534" s="62"/>
      <c r="K534" s="13"/>
    </row>
    <row r="535" spans="1:11" ht="22.5" customHeight="1" x14ac:dyDescent="0.25">
      <c r="A535" s="138"/>
      <c r="B535" s="141"/>
      <c r="C535" s="152"/>
      <c r="D535" s="145"/>
      <c r="E535" s="137"/>
      <c r="F535" s="142"/>
      <c r="G535" s="129"/>
      <c r="H535" s="126"/>
      <c r="I535" s="13"/>
      <c r="J535" s="62"/>
      <c r="K535" s="13"/>
    </row>
    <row r="536" spans="1:11" ht="22.5" customHeight="1" x14ac:dyDescent="0.25">
      <c r="A536" s="138"/>
      <c r="B536" s="141"/>
      <c r="C536" s="152"/>
      <c r="D536" s="145"/>
      <c r="E536" s="137"/>
      <c r="F536" s="142"/>
      <c r="G536" s="129"/>
      <c r="H536" s="126"/>
      <c r="I536" s="13"/>
      <c r="J536" s="62"/>
      <c r="K536" s="13"/>
    </row>
    <row r="537" spans="1:11" ht="22.5" customHeight="1" x14ac:dyDescent="0.25">
      <c r="A537" s="138"/>
      <c r="B537" s="141"/>
      <c r="C537" s="152"/>
      <c r="D537" s="145"/>
      <c r="E537" s="137"/>
      <c r="F537" s="142"/>
      <c r="G537" s="129"/>
      <c r="H537" s="126"/>
      <c r="I537" s="13"/>
      <c r="J537" s="62"/>
      <c r="K537" s="13"/>
    </row>
    <row r="538" spans="1:11" ht="22.5" customHeight="1" x14ac:dyDescent="0.25">
      <c r="A538" s="138"/>
      <c r="B538" s="141"/>
      <c r="C538" s="152"/>
      <c r="D538" s="145"/>
      <c r="E538" s="137"/>
      <c r="F538" s="142"/>
      <c r="G538" s="129"/>
      <c r="H538" s="126"/>
      <c r="I538" s="13"/>
      <c r="J538" s="62"/>
      <c r="K538" s="13"/>
    </row>
    <row r="539" spans="1:11" ht="22.5" customHeight="1" x14ac:dyDescent="0.25">
      <c r="A539" s="138"/>
      <c r="B539" s="141"/>
      <c r="C539" s="152"/>
      <c r="D539" s="145"/>
      <c r="E539" s="137"/>
      <c r="F539" s="142"/>
      <c r="G539" s="129"/>
      <c r="H539" s="126"/>
      <c r="I539" s="43"/>
      <c r="K539" s="13"/>
    </row>
    <row r="540" spans="1:11" ht="22.5" customHeight="1" x14ac:dyDescent="0.25">
      <c r="A540" s="138"/>
      <c r="B540" s="141"/>
      <c r="C540" s="152"/>
      <c r="D540" s="145"/>
      <c r="E540" s="137"/>
      <c r="F540" s="142"/>
      <c r="G540" s="129"/>
      <c r="H540" s="126"/>
      <c r="I540" s="43"/>
      <c r="K540" s="13"/>
    </row>
    <row r="541" spans="1:11" ht="22.5" customHeight="1" x14ac:dyDescent="0.25">
      <c r="A541" s="138"/>
      <c r="B541" s="141"/>
      <c r="C541" s="152"/>
      <c r="D541" s="145"/>
      <c r="E541" s="137"/>
      <c r="F541" s="142"/>
      <c r="G541" s="129"/>
      <c r="H541" s="126"/>
      <c r="I541" s="43"/>
      <c r="K541" s="13"/>
    </row>
    <row r="542" spans="1:11" ht="22.5" customHeight="1" x14ac:dyDescent="0.25">
      <c r="A542" s="138"/>
      <c r="B542" s="141"/>
      <c r="C542" s="152"/>
      <c r="D542" s="145"/>
      <c r="E542" s="137"/>
      <c r="F542" s="142"/>
      <c r="G542" s="129"/>
      <c r="H542" s="126"/>
      <c r="I542" s="43"/>
      <c r="K542" s="13"/>
    </row>
    <row r="543" spans="1:11" ht="22.5" customHeight="1" x14ac:dyDescent="0.25">
      <c r="A543" s="138"/>
      <c r="B543" s="141"/>
      <c r="C543" s="152"/>
      <c r="D543" s="145"/>
      <c r="E543" s="137"/>
      <c r="F543" s="142"/>
      <c r="G543" s="129"/>
      <c r="H543" s="126"/>
      <c r="I543" s="43"/>
      <c r="K543" s="13"/>
    </row>
    <row r="544" spans="1:11" ht="22.5" customHeight="1" x14ac:dyDescent="0.25">
      <c r="A544" s="138"/>
      <c r="B544" s="141"/>
      <c r="C544" s="152"/>
      <c r="D544" s="145"/>
      <c r="E544" s="137"/>
      <c r="F544" s="142"/>
      <c r="G544" s="129"/>
      <c r="H544" s="126"/>
      <c r="I544" s="43"/>
      <c r="K544" s="13"/>
    </row>
    <row r="545" spans="1:11" ht="22.5" customHeight="1" x14ac:dyDescent="0.25">
      <c r="A545" s="138"/>
      <c r="B545" s="141"/>
      <c r="C545" s="152"/>
      <c r="D545" s="145"/>
      <c r="E545" s="137"/>
      <c r="F545" s="142"/>
      <c r="G545" s="129"/>
      <c r="H545" s="126"/>
      <c r="I545" s="43"/>
      <c r="K545" s="13"/>
    </row>
    <row r="546" spans="1:11" ht="22.5" customHeight="1" x14ac:dyDescent="0.25">
      <c r="A546" s="138"/>
      <c r="B546" s="141"/>
      <c r="C546" s="152"/>
      <c r="D546" s="145"/>
      <c r="E546" s="137"/>
      <c r="F546" s="142"/>
      <c r="G546" s="129"/>
      <c r="H546" s="126"/>
      <c r="I546" s="43"/>
      <c r="K546" s="13"/>
    </row>
    <row r="547" spans="1:11" ht="22.5" customHeight="1" x14ac:dyDescent="0.25">
      <c r="A547" s="138"/>
      <c r="B547" s="141"/>
      <c r="C547" s="152"/>
      <c r="D547" s="145"/>
      <c r="E547" s="137"/>
      <c r="F547" s="142"/>
      <c r="G547" s="129"/>
      <c r="H547" s="126"/>
      <c r="I547" s="43"/>
      <c r="K547" s="13"/>
    </row>
    <row r="548" spans="1:11" ht="22.5" customHeight="1" x14ac:dyDescent="0.25">
      <c r="A548" s="138"/>
      <c r="B548" s="141"/>
      <c r="C548" s="152"/>
      <c r="D548" s="145"/>
      <c r="E548" s="137"/>
      <c r="F548" s="142"/>
      <c r="G548" s="129"/>
      <c r="H548" s="126"/>
      <c r="I548" s="43"/>
      <c r="K548" s="13"/>
    </row>
    <row r="549" spans="1:11" ht="22.5" customHeight="1" x14ac:dyDescent="0.25">
      <c r="A549" s="138"/>
      <c r="B549" s="141"/>
      <c r="C549" s="152"/>
      <c r="D549" s="145"/>
      <c r="E549" s="137"/>
      <c r="F549" s="142"/>
      <c r="G549" s="129"/>
      <c r="H549" s="126"/>
      <c r="I549" s="43"/>
      <c r="K549" s="13"/>
    </row>
    <row r="550" spans="1:11" ht="22.5" customHeight="1" x14ac:dyDescent="0.25">
      <c r="A550" s="138"/>
      <c r="B550" s="141"/>
      <c r="C550" s="152"/>
      <c r="D550" s="145"/>
      <c r="E550" s="137"/>
      <c r="F550" s="142"/>
      <c r="G550" s="129"/>
      <c r="H550" s="126"/>
      <c r="I550" s="43"/>
      <c r="K550" s="13"/>
    </row>
    <row r="551" spans="1:11" ht="22.5" customHeight="1" x14ac:dyDescent="0.25">
      <c r="A551" s="138"/>
      <c r="B551" s="141"/>
      <c r="C551" s="152"/>
      <c r="D551" s="145"/>
      <c r="E551" s="137"/>
      <c r="F551" s="142"/>
      <c r="G551" s="129"/>
      <c r="H551" s="126"/>
      <c r="I551" s="43"/>
      <c r="K551" s="13"/>
    </row>
    <row r="552" spans="1:11" ht="22.5" customHeight="1" x14ac:dyDescent="0.25">
      <c r="A552" s="138"/>
      <c r="B552" s="141"/>
      <c r="C552" s="152"/>
      <c r="D552" s="145"/>
      <c r="E552" s="137"/>
      <c r="F552" s="142"/>
      <c r="G552" s="129"/>
      <c r="H552" s="126"/>
      <c r="I552" s="43"/>
      <c r="K552" s="13"/>
    </row>
    <row r="553" spans="1:11" ht="22.5" customHeight="1" x14ac:dyDescent="0.25">
      <c r="A553" s="138"/>
      <c r="B553" s="141"/>
      <c r="C553" s="152"/>
      <c r="D553" s="145"/>
      <c r="E553" s="137"/>
      <c r="F553" s="142"/>
      <c r="G553" s="129"/>
      <c r="H553" s="126"/>
      <c r="I553" s="62"/>
      <c r="K553" s="13"/>
    </row>
    <row r="554" spans="1:11" ht="22.5" customHeight="1" x14ac:dyDescent="0.25">
      <c r="A554" s="138"/>
      <c r="B554" s="141"/>
      <c r="C554" s="152"/>
      <c r="D554" s="145"/>
      <c r="E554" s="137"/>
      <c r="F554" s="142"/>
      <c r="G554" s="129"/>
      <c r="H554" s="126"/>
      <c r="I554" s="43"/>
      <c r="K554" s="13"/>
    </row>
    <row r="555" spans="1:11" ht="22.5" customHeight="1" x14ac:dyDescent="0.25">
      <c r="A555" s="138"/>
      <c r="B555" s="141"/>
      <c r="C555" s="152"/>
      <c r="D555" s="145"/>
      <c r="E555" s="137"/>
      <c r="F555" s="142"/>
      <c r="G555" s="129"/>
      <c r="H555" s="126"/>
      <c r="I555" s="43"/>
      <c r="K555" s="13"/>
    </row>
    <row r="556" spans="1:11" ht="22.5" customHeight="1" x14ac:dyDescent="0.25">
      <c r="A556" s="138"/>
      <c r="B556" s="141"/>
      <c r="C556" s="152"/>
      <c r="D556" s="145"/>
      <c r="E556" s="137"/>
      <c r="F556" s="142"/>
      <c r="G556" s="129"/>
      <c r="H556" s="126"/>
      <c r="I556" s="43"/>
      <c r="K556" s="13"/>
    </row>
    <row r="557" spans="1:11" ht="22.5" customHeight="1" x14ac:dyDescent="0.25">
      <c r="A557" s="138"/>
      <c r="B557" s="141"/>
      <c r="C557" s="152"/>
      <c r="D557" s="145"/>
      <c r="E557" s="137"/>
      <c r="F557" s="142"/>
      <c r="G557" s="129"/>
      <c r="H557" s="126"/>
      <c r="I557" s="43"/>
      <c r="K557" s="13"/>
    </row>
    <row r="558" spans="1:11" ht="22.5" customHeight="1" x14ac:dyDescent="0.25">
      <c r="A558" s="138"/>
      <c r="B558" s="141"/>
      <c r="C558" s="152"/>
      <c r="D558" s="145"/>
      <c r="E558" s="137"/>
      <c r="F558" s="142"/>
      <c r="G558" s="129"/>
      <c r="H558" s="126"/>
      <c r="I558" s="43"/>
      <c r="K558" s="13"/>
    </row>
    <row r="559" spans="1:11" ht="22.5" customHeight="1" x14ac:dyDescent="0.25">
      <c r="A559" s="138"/>
      <c r="B559" s="141"/>
      <c r="C559" s="152"/>
      <c r="D559" s="145"/>
      <c r="E559" s="137"/>
      <c r="F559" s="142"/>
      <c r="G559" s="129"/>
      <c r="H559" s="126"/>
      <c r="I559" s="43"/>
      <c r="K559" s="13"/>
    </row>
    <row r="560" spans="1:11" ht="22.5" customHeight="1" x14ac:dyDescent="0.25">
      <c r="A560" s="138"/>
      <c r="B560" s="141"/>
      <c r="C560" s="152"/>
      <c r="D560" s="145"/>
      <c r="E560" s="137"/>
      <c r="F560" s="142"/>
      <c r="G560" s="129"/>
      <c r="H560" s="126"/>
      <c r="I560" s="43"/>
      <c r="K560" s="13"/>
    </row>
    <row r="561" spans="1:11" ht="22.5" customHeight="1" x14ac:dyDescent="0.25">
      <c r="A561" s="138"/>
      <c r="B561" s="141"/>
      <c r="C561" s="152"/>
      <c r="D561" s="145"/>
      <c r="E561" s="137"/>
      <c r="F561" s="142"/>
      <c r="G561" s="129"/>
      <c r="H561" s="126"/>
      <c r="I561" s="43"/>
      <c r="K561" s="13"/>
    </row>
    <row r="562" spans="1:11" ht="22.5" customHeight="1" x14ac:dyDescent="0.25">
      <c r="A562" s="138"/>
      <c r="B562" s="141"/>
      <c r="C562" s="152"/>
      <c r="D562" s="145"/>
      <c r="E562" s="137"/>
      <c r="F562" s="142"/>
      <c r="G562" s="129"/>
      <c r="H562" s="126"/>
      <c r="I562" s="43"/>
      <c r="K562" s="13"/>
    </row>
    <row r="563" spans="1:11" ht="22.5" customHeight="1" x14ac:dyDescent="0.25">
      <c r="A563" s="138"/>
      <c r="B563" s="141"/>
      <c r="C563" s="152"/>
      <c r="D563" s="145"/>
      <c r="E563" s="137"/>
      <c r="F563" s="142"/>
      <c r="G563" s="129"/>
      <c r="H563" s="126"/>
      <c r="I563" s="43"/>
      <c r="K563" s="13"/>
    </row>
    <row r="564" spans="1:11" ht="22.5" customHeight="1" x14ac:dyDescent="0.25">
      <c r="A564" s="138"/>
      <c r="B564" s="141"/>
      <c r="C564" s="152"/>
      <c r="D564" s="145"/>
      <c r="E564" s="137"/>
      <c r="F564" s="142"/>
      <c r="G564" s="129"/>
      <c r="H564" s="126"/>
      <c r="I564" s="43"/>
      <c r="K564" s="13"/>
    </row>
    <row r="565" spans="1:11" ht="22.5" customHeight="1" x14ac:dyDescent="0.25">
      <c r="A565" s="138"/>
      <c r="B565" s="141"/>
      <c r="C565" s="152"/>
      <c r="D565" s="145"/>
      <c r="E565" s="137"/>
      <c r="F565" s="142"/>
      <c r="G565" s="129"/>
      <c r="H565" s="126"/>
      <c r="I565" s="13"/>
      <c r="J565" s="63"/>
      <c r="K565" s="13"/>
    </row>
    <row r="566" spans="1:11" ht="22.5" customHeight="1" x14ac:dyDescent="0.25">
      <c r="A566" s="138"/>
      <c r="B566" s="141"/>
      <c r="C566" s="152"/>
      <c r="D566" s="145"/>
      <c r="E566" s="137"/>
      <c r="F566" s="142"/>
      <c r="G566" s="129"/>
      <c r="H566" s="126"/>
      <c r="I566" s="43"/>
      <c r="K566" s="13"/>
    </row>
    <row r="567" spans="1:11" ht="22.5" customHeight="1" x14ac:dyDescent="0.25">
      <c r="A567" s="138"/>
      <c r="B567" s="141"/>
      <c r="C567" s="152"/>
      <c r="D567" s="145"/>
      <c r="E567" s="137"/>
      <c r="F567" s="142"/>
      <c r="G567" s="129"/>
      <c r="H567" s="126"/>
      <c r="I567" s="43"/>
      <c r="K567" s="13"/>
    </row>
    <row r="568" spans="1:11" ht="22.5" customHeight="1" x14ac:dyDescent="0.25">
      <c r="A568" s="138"/>
      <c r="B568" s="141"/>
      <c r="C568" s="152"/>
      <c r="D568" s="145"/>
      <c r="E568" s="137"/>
      <c r="F568" s="142"/>
      <c r="G568" s="129"/>
      <c r="H568" s="126"/>
      <c r="I568" s="43"/>
      <c r="K568" s="13"/>
    </row>
    <row r="569" spans="1:11" ht="22.5" customHeight="1" x14ac:dyDescent="0.25">
      <c r="A569" s="144"/>
      <c r="B569" s="141"/>
      <c r="C569" s="152"/>
      <c r="D569" s="145"/>
      <c r="E569" s="137"/>
      <c r="F569" s="142"/>
      <c r="G569" s="129"/>
      <c r="H569" s="126"/>
      <c r="I569" s="43"/>
      <c r="K569" s="13"/>
    </row>
    <row r="570" spans="1:11" ht="22.5" customHeight="1" x14ac:dyDescent="0.25">
      <c r="A570" s="138"/>
      <c r="B570" s="141"/>
      <c r="C570" s="152"/>
      <c r="D570" s="145"/>
      <c r="E570" s="137"/>
      <c r="F570" s="142"/>
      <c r="G570" s="129"/>
      <c r="H570" s="126"/>
      <c r="I570" s="43"/>
      <c r="K570" s="13"/>
    </row>
    <row r="571" spans="1:11" ht="22.5" customHeight="1" x14ac:dyDescent="0.25">
      <c r="A571" s="138"/>
      <c r="B571" s="141"/>
      <c r="C571" s="152"/>
      <c r="D571" s="145"/>
      <c r="E571" s="137"/>
      <c r="F571" s="142"/>
      <c r="G571" s="129"/>
      <c r="H571" s="126"/>
      <c r="I571" s="43"/>
      <c r="K571" s="13"/>
    </row>
    <row r="572" spans="1:11" ht="22.5" customHeight="1" x14ac:dyDescent="0.25">
      <c r="A572" s="138"/>
      <c r="B572" s="141"/>
      <c r="C572" s="152"/>
      <c r="D572" s="145"/>
      <c r="E572" s="137"/>
      <c r="F572" s="142"/>
      <c r="G572" s="129"/>
      <c r="H572" s="126"/>
      <c r="I572" s="43"/>
      <c r="K572" s="13"/>
    </row>
    <row r="573" spans="1:11" ht="22.5" customHeight="1" x14ac:dyDescent="0.25">
      <c r="A573" s="138"/>
      <c r="B573" s="141"/>
      <c r="C573" s="152"/>
      <c r="D573" s="145"/>
      <c r="E573" s="137"/>
      <c r="F573" s="142"/>
      <c r="G573" s="129"/>
      <c r="H573" s="126"/>
      <c r="I573" s="43"/>
      <c r="K573" s="13"/>
    </row>
    <row r="574" spans="1:11" ht="22.5" customHeight="1" x14ac:dyDescent="0.25">
      <c r="A574" s="61"/>
      <c r="B574" s="31"/>
      <c r="C574" s="32"/>
      <c r="D574" s="33"/>
      <c r="E574" s="13"/>
      <c r="F574" s="63"/>
      <c r="G574" s="62"/>
      <c r="I574" s="43"/>
      <c r="K574" s="13"/>
    </row>
    <row r="575" spans="1:11" ht="22.5" customHeight="1" x14ac:dyDescent="0.25">
      <c r="A575" s="61"/>
      <c r="B575" s="31"/>
      <c r="C575" s="32"/>
      <c r="D575" s="33"/>
      <c r="E575" s="13"/>
      <c r="F575" s="63"/>
      <c r="G575" s="62"/>
      <c r="I575" s="43"/>
      <c r="K575" s="13"/>
    </row>
    <row r="576" spans="1:11" ht="22.5" customHeight="1" x14ac:dyDescent="0.25">
      <c r="A576" s="61"/>
      <c r="B576" s="31"/>
      <c r="C576" s="32"/>
      <c r="D576" s="33"/>
      <c r="E576" s="13"/>
      <c r="F576" s="63"/>
      <c r="G576" s="62"/>
      <c r="I576" s="43"/>
      <c r="K576" s="13"/>
    </row>
    <row r="577" spans="1:11" ht="22.5" customHeight="1" x14ac:dyDescent="0.25">
      <c r="A577" s="69"/>
      <c r="B577" s="70"/>
      <c r="C577" s="150"/>
      <c r="D577" s="146"/>
      <c r="E577" s="68"/>
      <c r="F577" s="78"/>
      <c r="G577" s="72"/>
      <c r="H577" s="164"/>
      <c r="I577" s="74"/>
      <c r="J577" s="73"/>
      <c r="K577" s="68"/>
    </row>
    <row r="578" spans="1:11" ht="22.5" customHeight="1" x14ac:dyDescent="0.25">
      <c r="A578" s="61"/>
      <c r="B578" s="31"/>
      <c r="C578" s="32"/>
      <c r="D578" s="33"/>
      <c r="E578" s="13"/>
      <c r="F578" s="63"/>
      <c r="G578" s="62"/>
      <c r="I578" s="43"/>
      <c r="K578" s="13"/>
    </row>
    <row r="579" spans="1:11" ht="22.5" customHeight="1" x14ac:dyDescent="0.25">
      <c r="A579" s="61"/>
      <c r="B579" s="31"/>
      <c r="C579" s="32"/>
      <c r="D579" s="33"/>
      <c r="E579" s="13"/>
      <c r="F579" s="63"/>
      <c r="G579" s="62"/>
      <c r="I579" s="74"/>
      <c r="K579" s="13"/>
    </row>
    <row r="580" spans="1:11" ht="22.5" customHeight="1" x14ac:dyDescent="0.25">
      <c r="A580" s="61"/>
      <c r="B580" s="31"/>
      <c r="C580" s="32"/>
      <c r="D580" s="33"/>
      <c r="E580" s="13"/>
      <c r="F580" s="63"/>
      <c r="G580" s="62"/>
      <c r="I580" s="74"/>
      <c r="K580" s="13"/>
    </row>
    <row r="581" spans="1:11" ht="22.5" customHeight="1" x14ac:dyDescent="0.25">
      <c r="A581" s="61"/>
      <c r="B581" s="31"/>
      <c r="C581" s="32"/>
      <c r="D581" s="33"/>
      <c r="E581" s="13"/>
      <c r="F581" s="63"/>
      <c r="G581" s="62"/>
      <c r="I581" s="43"/>
      <c r="K581" s="13"/>
    </row>
    <row r="582" spans="1:11" ht="22.5" customHeight="1" x14ac:dyDescent="0.25">
      <c r="A582" s="61"/>
      <c r="B582" s="31"/>
      <c r="C582" s="32"/>
      <c r="D582" s="33"/>
      <c r="E582" s="13"/>
      <c r="F582" s="63"/>
      <c r="G582" s="62"/>
      <c r="I582" s="43"/>
      <c r="K582" s="13"/>
    </row>
    <row r="583" spans="1:11" ht="22.5" customHeight="1" x14ac:dyDescent="0.25">
      <c r="A583" s="61"/>
      <c r="B583" s="31"/>
      <c r="C583" s="32"/>
      <c r="D583" s="33"/>
      <c r="E583" s="13"/>
      <c r="F583" s="63"/>
      <c r="G583" s="62"/>
      <c r="I583" s="43"/>
      <c r="K583" s="13"/>
    </row>
    <row r="584" spans="1:11" ht="22.5" customHeight="1" x14ac:dyDescent="0.25">
      <c r="A584" s="61"/>
      <c r="B584" s="31"/>
      <c r="C584" s="32"/>
      <c r="D584" s="33"/>
      <c r="E584" s="13"/>
      <c r="F584" s="63"/>
      <c r="G584" s="62"/>
      <c r="I584" s="43"/>
      <c r="K584" s="13"/>
    </row>
    <row r="585" spans="1:11" ht="22.5" customHeight="1" x14ac:dyDescent="0.25">
      <c r="A585" s="61"/>
      <c r="B585" s="31"/>
      <c r="C585" s="32"/>
      <c r="D585" s="33"/>
      <c r="E585" s="13"/>
      <c r="F585" s="63"/>
      <c r="G585" s="62"/>
      <c r="I585" s="43"/>
      <c r="K585" s="13"/>
    </row>
    <row r="586" spans="1:11" ht="33.75" customHeight="1" x14ac:dyDescent="0.25">
      <c r="A586" s="61"/>
      <c r="B586" s="31"/>
      <c r="C586" s="32"/>
      <c r="D586" s="33"/>
      <c r="E586" s="13"/>
      <c r="F586" s="63"/>
      <c r="G586" s="62"/>
      <c r="I586" s="43"/>
      <c r="K586" s="13"/>
    </row>
    <row r="587" spans="1:11" ht="22.5" customHeight="1" x14ac:dyDescent="0.25">
      <c r="A587" s="61"/>
      <c r="B587" s="31"/>
      <c r="C587" s="32"/>
      <c r="D587" s="33"/>
      <c r="E587" s="13"/>
      <c r="F587" s="63"/>
      <c r="G587" s="62"/>
      <c r="I587" s="43"/>
      <c r="K587" s="13"/>
    </row>
    <row r="588" spans="1:11" ht="22.5" customHeight="1" x14ac:dyDescent="0.25">
      <c r="A588" s="61"/>
      <c r="B588" s="31"/>
      <c r="C588" s="32"/>
      <c r="D588" s="33"/>
      <c r="E588" s="13"/>
      <c r="F588" s="63"/>
      <c r="G588" s="62"/>
      <c r="I588" s="43"/>
      <c r="K588" s="13"/>
    </row>
    <row r="589" spans="1:11" ht="22.5" customHeight="1" x14ac:dyDescent="0.25">
      <c r="A589" s="61"/>
      <c r="B589" s="31"/>
      <c r="C589" s="32"/>
      <c r="D589" s="33"/>
      <c r="E589" s="13"/>
      <c r="F589" s="63"/>
      <c r="G589" s="62"/>
      <c r="I589" s="43"/>
      <c r="K589" s="13"/>
    </row>
    <row r="590" spans="1:11" ht="22.5" customHeight="1" x14ac:dyDescent="0.25">
      <c r="A590" s="61"/>
      <c r="B590" s="31"/>
      <c r="C590" s="32"/>
      <c r="D590" s="33"/>
      <c r="E590" s="13"/>
      <c r="F590" s="63"/>
      <c r="G590" s="62"/>
      <c r="I590" s="43"/>
      <c r="K590" s="13"/>
    </row>
    <row r="591" spans="1:11" ht="22.5" customHeight="1" x14ac:dyDescent="0.25">
      <c r="A591" s="61"/>
      <c r="B591" s="31"/>
      <c r="C591" s="32"/>
      <c r="D591" s="33"/>
      <c r="E591" s="13"/>
      <c r="F591" s="63"/>
      <c r="G591" s="62"/>
      <c r="I591" s="43"/>
      <c r="K591" s="13"/>
    </row>
    <row r="592" spans="1:11" ht="22.5" customHeight="1" x14ac:dyDescent="0.25">
      <c r="A592" s="61"/>
      <c r="B592" s="31"/>
      <c r="C592" s="32"/>
      <c r="D592" s="33"/>
      <c r="E592" s="13"/>
      <c r="F592" s="63"/>
      <c r="G592" s="62"/>
      <c r="I592" s="43"/>
      <c r="K592" s="13"/>
    </row>
    <row r="593" spans="1:11" ht="22.5" customHeight="1" x14ac:dyDescent="0.25">
      <c r="A593" s="61"/>
      <c r="B593" s="31"/>
      <c r="C593" s="32"/>
      <c r="D593" s="33"/>
      <c r="E593" s="13"/>
      <c r="F593" s="63"/>
      <c r="G593" s="62"/>
      <c r="I593" s="43"/>
      <c r="K593" s="13"/>
    </row>
    <row r="594" spans="1:11" ht="22.5" customHeight="1" x14ac:dyDescent="0.25">
      <c r="A594" s="61"/>
      <c r="B594" s="31"/>
      <c r="C594" s="32"/>
      <c r="D594" s="33"/>
      <c r="E594" s="13"/>
      <c r="F594" s="63"/>
      <c r="G594" s="62"/>
      <c r="I594" s="43"/>
      <c r="K594" s="13"/>
    </row>
    <row r="595" spans="1:11" ht="22.5" customHeight="1" x14ac:dyDescent="0.25">
      <c r="A595" s="61"/>
      <c r="B595" s="31"/>
      <c r="C595" s="32"/>
      <c r="D595" s="33"/>
      <c r="E595" s="13"/>
      <c r="F595" s="63"/>
      <c r="G595" s="62"/>
      <c r="I595" s="43"/>
      <c r="K595" s="13"/>
    </row>
    <row r="596" spans="1:11" ht="22.5" customHeight="1" x14ac:dyDescent="0.25">
      <c r="A596" s="61"/>
      <c r="B596" s="31"/>
      <c r="C596" s="32"/>
      <c r="D596" s="33"/>
      <c r="E596" s="13"/>
      <c r="F596" s="63"/>
      <c r="G596" s="62"/>
      <c r="I596" s="43"/>
      <c r="K596" s="13"/>
    </row>
    <row r="597" spans="1:11" ht="22.5" customHeight="1" x14ac:dyDescent="0.25">
      <c r="A597" s="61"/>
      <c r="B597" s="31"/>
      <c r="C597" s="32"/>
      <c r="D597" s="33"/>
      <c r="E597" s="13"/>
      <c r="F597" s="63"/>
      <c r="G597" s="62"/>
      <c r="I597" s="43"/>
      <c r="K597" s="13"/>
    </row>
    <row r="598" spans="1:11" ht="22.5" customHeight="1" x14ac:dyDescent="0.25">
      <c r="A598" s="61"/>
      <c r="B598" s="31"/>
      <c r="C598" s="32"/>
      <c r="D598" s="33"/>
      <c r="E598" s="13"/>
      <c r="F598" s="63"/>
      <c r="G598" s="62"/>
      <c r="I598" s="43"/>
      <c r="K598" s="13"/>
    </row>
    <row r="599" spans="1:11" ht="22.5" customHeight="1" x14ac:dyDescent="0.25">
      <c r="A599" s="61"/>
      <c r="B599" s="31"/>
      <c r="C599" s="32"/>
      <c r="D599" s="33"/>
      <c r="E599" s="13"/>
      <c r="F599" s="63"/>
      <c r="G599" s="62"/>
      <c r="I599" s="43"/>
      <c r="K599" s="13"/>
    </row>
    <row r="600" spans="1:11" ht="22.5" customHeight="1" x14ac:dyDescent="0.25">
      <c r="A600" s="61"/>
      <c r="B600" s="31"/>
      <c r="C600" s="32"/>
      <c r="D600" s="33"/>
      <c r="E600" s="13"/>
      <c r="F600" s="63"/>
      <c r="G600" s="62"/>
      <c r="I600" s="43"/>
      <c r="K600" s="13"/>
    </row>
    <row r="601" spans="1:11" ht="22.5" customHeight="1" x14ac:dyDescent="0.25">
      <c r="A601" s="61"/>
      <c r="B601" s="31"/>
      <c r="C601" s="32"/>
      <c r="D601" s="33"/>
      <c r="E601" s="13"/>
      <c r="F601" s="63"/>
      <c r="G601" s="62"/>
      <c r="I601" s="43"/>
      <c r="K601" s="13"/>
    </row>
    <row r="602" spans="1:11" ht="22.5" customHeight="1" x14ac:dyDescent="0.25">
      <c r="A602" s="61"/>
      <c r="B602" s="31"/>
      <c r="C602" s="32"/>
      <c r="D602" s="33"/>
      <c r="E602" s="13"/>
      <c r="F602" s="63"/>
      <c r="G602" s="62"/>
      <c r="I602" s="43"/>
      <c r="K602" s="13"/>
    </row>
    <row r="603" spans="1:11" ht="22.5" customHeight="1" x14ac:dyDescent="0.25">
      <c r="A603" s="61"/>
    </row>
    <row r="604" spans="1:11" ht="22.5" customHeight="1" x14ac:dyDescent="0.25">
      <c r="A604" s="61"/>
    </row>
    <row r="605" spans="1:11" ht="22.5" customHeight="1" x14ac:dyDescent="0.25">
      <c r="A605" s="61"/>
    </row>
    <row r="606" spans="1:11" ht="22.5" customHeight="1" x14ac:dyDescent="0.25">
      <c r="A606" s="61"/>
    </row>
    <row r="607" spans="1:11" ht="22.5" customHeight="1" x14ac:dyDescent="0.25">
      <c r="A607" s="61"/>
    </row>
    <row r="608" spans="1:11" ht="22.5" customHeight="1" x14ac:dyDescent="0.25">
      <c r="A608" s="61"/>
    </row>
    <row r="609" spans="1:11" ht="22.5" customHeight="1" x14ac:dyDescent="0.25">
      <c r="A609" s="61"/>
      <c r="I609" s="54"/>
    </row>
    <row r="610" spans="1:11" ht="22.5" customHeight="1" x14ac:dyDescent="0.25">
      <c r="A610" s="61"/>
      <c r="I610" s="54"/>
    </row>
    <row r="611" spans="1:11" ht="22.5" customHeight="1" x14ac:dyDescent="0.25">
      <c r="A611" s="61"/>
    </row>
    <row r="612" spans="1:11" ht="22.5" customHeight="1" x14ac:dyDescent="0.25">
      <c r="A612" s="61"/>
    </row>
    <row r="613" spans="1:11" ht="22.5" customHeight="1" x14ac:dyDescent="0.25">
      <c r="A613" s="61"/>
    </row>
    <row r="614" spans="1:11" ht="22.5" customHeight="1" x14ac:dyDescent="0.25">
      <c r="A614" s="69"/>
      <c r="B614" s="44"/>
      <c r="C614" s="45"/>
      <c r="D614" s="46"/>
      <c r="E614" s="48"/>
      <c r="F614" s="78"/>
      <c r="I614" s="79"/>
      <c r="J614" s="73"/>
      <c r="K614" s="48"/>
    </row>
    <row r="615" spans="1:11" ht="22.5" customHeight="1" x14ac:dyDescent="0.25">
      <c r="A615" s="61"/>
    </row>
    <row r="616" spans="1:11" ht="22.5" customHeight="1" x14ac:dyDescent="0.25">
      <c r="A616" s="61"/>
    </row>
    <row r="617" spans="1:11" ht="22.5" customHeight="1" x14ac:dyDescent="0.25">
      <c r="A617" s="61"/>
    </row>
    <row r="618" spans="1:11" ht="22.5" customHeight="1" x14ac:dyDescent="0.25">
      <c r="A618" s="61"/>
    </row>
    <row r="619" spans="1:11" ht="22.5" customHeight="1" x14ac:dyDescent="0.25">
      <c r="A619" s="61"/>
      <c r="E619" s="13"/>
      <c r="F619" s="63"/>
      <c r="G619" s="62"/>
      <c r="I619" s="43"/>
      <c r="K619" s="13"/>
    </row>
    <row r="620" spans="1:11" ht="22.5" customHeight="1" x14ac:dyDescent="0.25">
      <c r="A620" s="61"/>
    </row>
    <row r="621" spans="1:11" ht="22.5" customHeight="1" x14ac:dyDescent="0.25">
      <c r="A621" s="61"/>
      <c r="I621" s="54"/>
    </row>
    <row r="622" spans="1:11" ht="22.5" customHeight="1" x14ac:dyDescent="0.25">
      <c r="A622" s="61"/>
      <c r="I622" s="54"/>
    </row>
    <row r="623" spans="1:11" ht="22.5" customHeight="1" x14ac:dyDescent="0.25">
      <c r="A623" s="61"/>
    </row>
    <row r="624" spans="1:11" ht="22.5" customHeight="1" x14ac:dyDescent="0.25">
      <c r="A624" s="61"/>
    </row>
    <row r="625" spans="1:12" ht="22.5" customHeight="1" x14ac:dyDescent="0.25">
      <c r="A625" s="61"/>
    </row>
    <row r="626" spans="1:12" ht="22.5" customHeight="1" x14ac:dyDescent="0.25">
      <c r="A626" s="61"/>
    </row>
    <row r="627" spans="1:12" ht="22.5" customHeight="1" x14ac:dyDescent="0.25">
      <c r="A627" s="61"/>
    </row>
    <row r="628" spans="1:12" ht="22.5" customHeight="1" x14ac:dyDescent="0.25">
      <c r="A628" s="61"/>
    </row>
    <row r="629" spans="1:12" ht="22.5" customHeight="1" x14ac:dyDescent="0.25">
      <c r="A629" s="61"/>
      <c r="I629" s="6"/>
      <c r="J629" s="53"/>
    </row>
    <row r="630" spans="1:12" ht="22.5" customHeight="1" x14ac:dyDescent="0.25">
      <c r="A630" s="61"/>
    </row>
    <row r="631" spans="1:12" ht="22.5" customHeight="1" x14ac:dyDescent="0.25">
      <c r="A631" s="61"/>
    </row>
    <row r="632" spans="1:12" ht="22.5" customHeight="1" x14ac:dyDescent="0.25">
      <c r="A632" s="65"/>
      <c r="L632" s="29"/>
    </row>
    <row r="633" spans="1:12" ht="22.5" customHeight="1" x14ac:dyDescent="0.25">
      <c r="A633" s="80"/>
      <c r="B633" s="81"/>
      <c r="C633" s="154"/>
      <c r="D633" s="149"/>
      <c r="E633" s="82"/>
      <c r="F633" s="83"/>
      <c r="G633" s="84"/>
      <c r="H633" s="167"/>
      <c r="I633" s="86"/>
      <c r="J633" s="85"/>
      <c r="K633" s="82"/>
      <c r="L633" s="82"/>
    </row>
    <row r="634" spans="1:12" ht="22.5" customHeight="1" x14ac:dyDescent="0.25">
      <c r="A634" s="61"/>
    </row>
    <row r="635" spans="1:12" ht="22.5" customHeight="1" x14ac:dyDescent="0.25">
      <c r="A635" s="61"/>
    </row>
    <row r="636" spans="1:12" ht="22.5" customHeight="1" x14ac:dyDescent="0.25">
      <c r="A636" s="61"/>
    </row>
    <row r="637" spans="1:12" ht="22.5" customHeight="1" x14ac:dyDescent="0.25">
      <c r="A637" s="61"/>
    </row>
    <row r="638" spans="1:12" ht="22.5" customHeight="1" x14ac:dyDescent="0.25">
      <c r="A638" s="61"/>
    </row>
    <row r="639" spans="1:12" ht="22.5" customHeight="1" x14ac:dyDescent="0.25">
      <c r="A639" s="61"/>
    </row>
    <row r="640" spans="1:12" ht="22.5" customHeight="1" x14ac:dyDescent="0.25">
      <c r="A640" s="61"/>
    </row>
    <row r="641" spans="1:9" ht="22.5" customHeight="1" x14ac:dyDescent="0.25">
      <c r="A641" s="61"/>
      <c r="I641" s="54"/>
    </row>
    <row r="642" spans="1:9" ht="22.5" customHeight="1" x14ac:dyDescent="0.25">
      <c r="A642" s="61"/>
      <c r="I642" s="54"/>
    </row>
    <row r="643" spans="1:9" ht="22.5" customHeight="1" x14ac:dyDescent="0.25">
      <c r="A643" s="61"/>
      <c r="I643" s="54"/>
    </row>
    <row r="644" spans="1:9" ht="22.5" customHeight="1" x14ac:dyDescent="0.25">
      <c r="A644" s="61"/>
      <c r="I644" s="54"/>
    </row>
    <row r="645" spans="1:9" ht="22.5" customHeight="1" x14ac:dyDescent="0.25">
      <c r="A645" s="61"/>
      <c r="I645" s="54"/>
    </row>
    <row r="646" spans="1:9" ht="22.5" customHeight="1" x14ac:dyDescent="0.25">
      <c r="A646" s="61"/>
      <c r="I646" s="54"/>
    </row>
    <row r="647" spans="1:9" ht="22.5" customHeight="1" x14ac:dyDescent="0.25">
      <c r="A647" s="61"/>
      <c r="I647" s="54"/>
    </row>
    <row r="648" spans="1:9" ht="22.5" customHeight="1" x14ac:dyDescent="0.25">
      <c r="A648" s="61"/>
      <c r="I648" s="54"/>
    </row>
    <row r="649" spans="1:9" ht="22.5" customHeight="1" x14ac:dyDescent="0.25">
      <c r="A649" s="61"/>
      <c r="I649" s="54"/>
    </row>
    <row r="650" spans="1:9" ht="22.5" customHeight="1" x14ac:dyDescent="0.25">
      <c r="A650" s="61"/>
      <c r="I650" s="54"/>
    </row>
    <row r="651" spans="1:9" ht="22.5" customHeight="1" x14ac:dyDescent="0.25">
      <c r="A651" s="61"/>
      <c r="I651" s="54"/>
    </row>
    <row r="652" spans="1:9" ht="22.5" customHeight="1" x14ac:dyDescent="0.25">
      <c r="A652" s="61"/>
      <c r="I652" s="54"/>
    </row>
    <row r="653" spans="1:9" ht="22.5" customHeight="1" x14ac:dyDescent="0.25">
      <c r="A653" s="61"/>
    </row>
    <row r="654" spans="1:9" ht="22.5" customHeight="1" x14ac:dyDescent="0.25">
      <c r="A654" s="61"/>
    </row>
    <row r="655" spans="1:9" ht="22.5" customHeight="1" x14ac:dyDescent="0.25">
      <c r="A655" s="61"/>
    </row>
    <row r="656" spans="1:9" ht="22.5" customHeight="1" x14ac:dyDescent="0.25">
      <c r="A656" s="61"/>
    </row>
    <row r="657" spans="1:1" ht="22.5" customHeight="1" x14ac:dyDescent="0.25">
      <c r="A657" s="61"/>
    </row>
    <row r="658" spans="1:1" ht="22.5" customHeight="1" x14ac:dyDescent="0.25">
      <c r="A658" s="61"/>
    </row>
    <row r="659" spans="1:1" ht="22.5" customHeight="1" x14ac:dyDescent="0.25">
      <c r="A659" s="61"/>
    </row>
    <row r="660" spans="1:1" ht="22.5" customHeight="1" x14ac:dyDescent="0.25">
      <c r="A660" s="61"/>
    </row>
    <row r="661" spans="1:1" ht="22.5" customHeight="1" x14ac:dyDescent="0.25">
      <c r="A661" s="61"/>
    </row>
    <row r="662" spans="1:1" ht="22.5" customHeight="1" x14ac:dyDescent="0.25">
      <c r="A662" s="61"/>
    </row>
    <row r="663" spans="1:1" ht="22.5" customHeight="1" x14ac:dyDescent="0.25">
      <c r="A663" s="61"/>
    </row>
    <row r="664" spans="1:1" ht="22.5" customHeight="1" x14ac:dyDescent="0.25">
      <c r="A664" s="61"/>
    </row>
    <row r="665" spans="1:1" ht="22.5" customHeight="1" x14ac:dyDescent="0.25">
      <c r="A665" s="61"/>
    </row>
    <row r="666" spans="1:1" ht="22.5" customHeight="1" x14ac:dyDescent="0.25">
      <c r="A666" s="61"/>
    </row>
    <row r="667" spans="1:1" ht="22.5" customHeight="1" x14ac:dyDescent="0.25">
      <c r="A667" s="77"/>
    </row>
    <row r="668" spans="1:1" ht="22.5" customHeight="1" x14ac:dyDescent="0.25">
      <c r="A668" s="77"/>
    </row>
    <row r="669" spans="1:1" ht="22.5" customHeight="1" x14ac:dyDescent="0.25">
      <c r="A669" s="77"/>
    </row>
    <row r="670" spans="1:1" ht="22.5" customHeight="1" x14ac:dyDescent="0.25">
      <c r="A670" s="77"/>
    </row>
    <row r="671" spans="1:1" ht="22.5" customHeight="1" x14ac:dyDescent="0.25">
      <c r="A671" s="61"/>
    </row>
    <row r="672" spans="1:1" ht="22.5" customHeight="1" x14ac:dyDescent="0.25">
      <c r="A672" s="61"/>
    </row>
    <row r="673" spans="1:1" ht="22.5" customHeight="1" x14ac:dyDescent="0.25">
      <c r="A673" s="61"/>
    </row>
    <row r="674" spans="1:1" ht="22.5" customHeight="1" x14ac:dyDescent="0.25">
      <c r="A674" s="61"/>
    </row>
    <row r="675" spans="1:1" ht="22.5" customHeight="1" x14ac:dyDescent="0.25">
      <c r="A675" s="61"/>
    </row>
    <row r="676" spans="1:1" ht="22.5" customHeight="1" x14ac:dyDescent="0.25">
      <c r="A676" s="61"/>
    </row>
    <row r="677" spans="1:1" ht="22.5" customHeight="1" x14ac:dyDescent="0.25">
      <c r="A677" s="61"/>
    </row>
    <row r="678" spans="1:1" ht="22.5" customHeight="1" x14ac:dyDescent="0.25">
      <c r="A678" s="61"/>
    </row>
    <row r="679" spans="1:1" ht="22.5" customHeight="1" x14ac:dyDescent="0.25">
      <c r="A679" s="61"/>
    </row>
    <row r="680" spans="1:1" ht="22.5" customHeight="1" x14ac:dyDescent="0.25">
      <c r="A680" s="61"/>
    </row>
    <row r="681" spans="1:1" ht="22.5" customHeight="1" x14ac:dyDescent="0.25">
      <c r="A681" s="61"/>
    </row>
    <row r="682" spans="1:1" ht="22.5" customHeight="1" x14ac:dyDescent="0.25">
      <c r="A682" s="61"/>
    </row>
    <row r="683" spans="1:1" ht="22.5" customHeight="1" x14ac:dyDescent="0.25">
      <c r="A683" s="61"/>
    </row>
    <row r="684" spans="1:1" ht="22.5" customHeight="1" x14ac:dyDescent="0.25">
      <c r="A684" s="61"/>
    </row>
    <row r="685" spans="1:1" ht="22.5" customHeight="1" x14ac:dyDescent="0.25">
      <c r="A685" s="76"/>
    </row>
    <row r="686" spans="1:1" ht="22.5" customHeight="1" x14ac:dyDescent="0.25">
      <c r="A686" s="76"/>
    </row>
    <row r="687" spans="1:1" ht="22.5" customHeight="1" x14ac:dyDescent="0.25">
      <c r="A687" s="76"/>
    </row>
    <row r="688" spans="1:1" ht="22.5" customHeight="1" x14ac:dyDescent="0.25">
      <c r="A688" s="61"/>
    </row>
    <row r="689" spans="1:6" ht="22.5" customHeight="1" x14ac:dyDescent="0.25">
      <c r="A689" s="61"/>
    </row>
    <row r="690" spans="1:6" ht="22.5" customHeight="1" x14ac:dyDescent="0.25">
      <c r="A690" s="61"/>
    </row>
    <row r="691" spans="1:6" ht="22.5" customHeight="1" x14ac:dyDescent="0.25">
      <c r="A691" s="61"/>
    </row>
    <row r="692" spans="1:6" ht="22.5" customHeight="1" x14ac:dyDescent="0.25">
      <c r="A692" s="61"/>
    </row>
    <row r="693" spans="1:6" ht="22.5" customHeight="1" x14ac:dyDescent="0.25">
      <c r="A693" s="61"/>
    </row>
    <row r="694" spans="1:6" ht="22.5" customHeight="1" x14ac:dyDescent="0.25">
      <c r="A694" s="61"/>
    </row>
    <row r="695" spans="1:6" ht="22.5" customHeight="1" x14ac:dyDescent="0.25">
      <c r="A695" s="61"/>
    </row>
    <row r="696" spans="1:6" ht="22.5" customHeight="1" x14ac:dyDescent="0.25">
      <c r="A696" s="61"/>
    </row>
    <row r="697" spans="1:6" ht="22.5" customHeight="1" x14ac:dyDescent="0.25">
      <c r="A697" s="61"/>
    </row>
    <row r="698" spans="1:6" ht="22.5" customHeight="1" x14ac:dyDescent="0.25">
      <c r="A698" s="76"/>
    </row>
    <row r="699" spans="1:6" ht="22.5" customHeight="1" x14ac:dyDescent="0.25">
      <c r="A699" s="76"/>
    </row>
    <row r="700" spans="1:6" ht="22.5" customHeight="1" x14ac:dyDescent="0.25">
      <c r="A700" s="76"/>
    </row>
    <row r="701" spans="1:6" ht="22.5" customHeight="1" x14ac:dyDescent="0.25">
      <c r="A701" s="76"/>
    </row>
    <row r="702" spans="1:6" ht="22.5" customHeight="1" x14ac:dyDescent="0.25">
      <c r="A702" s="87"/>
    </row>
    <row r="703" spans="1:6" ht="22.5" customHeight="1" x14ac:dyDescent="0.25">
      <c r="A703" s="76"/>
      <c r="F703" s="88"/>
    </row>
    <row r="704" spans="1:6" ht="30.75" customHeight="1" x14ac:dyDescent="0.25">
      <c r="A704" s="76"/>
      <c r="F704"/>
    </row>
    <row r="705" spans="1:11" ht="22.5" customHeight="1" x14ac:dyDescent="0.25">
      <c r="A705" s="76"/>
      <c r="F705"/>
    </row>
    <row r="706" spans="1:11" ht="22.5" customHeight="1" x14ac:dyDescent="0.25">
      <c r="A706" s="76"/>
      <c r="E706"/>
      <c r="F706"/>
      <c r="I706"/>
      <c r="J706" s="49"/>
    </row>
    <row r="707" spans="1:11" ht="22.5" customHeight="1" x14ac:dyDescent="0.25">
      <c r="A707" s="76"/>
    </row>
    <row r="708" spans="1:11" ht="22.5" customHeight="1" x14ac:dyDescent="0.25">
      <c r="A708" s="76"/>
      <c r="I708" s="89"/>
    </row>
    <row r="709" spans="1:11" ht="22.5" customHeight="1" x14ac:dyDescent="0.25">
      <c r="A709" s="76"/>
    </row>
    <row r="710" spans="1:11" ht="22.5" customHeight="1" x14ac:dyDescent="0.25">
      <c r="A710" s="61"/>
    </row>
    <row r="711" spans="1:11" ht="22.5" customHeight="1" x14ac:dyDescent="0.25">
      <c r="A711" s="61"/>
    </row>
    <row r="712" spans="1:11" ht="22.5" customHeight="1" x14ac:dyDescent="0.25">
      <c r="A712" s="61"/>
      <c r="B712" s="44"/>
      <c r="C712" s="45"/>
      <c r="D712" s="46"/>
      <c r="E712" s="48"/>
      <c r="F712" s="71"/>
      <c r="G712" s="73"/>
      <c r="H712" s="164"/>
      <c r="I712" s="79"/>
      <c r="J712" s="73"/>
      <c r="K712" s="48"/>
    </row>
    <row r="713" spans="1:11" ht="22.5" customHeight="1" x14ac:dyDescent="0.25">
      <c r="A713" s="76"/>
      <c r="I713" s="54"/>
    </row>
    <row r="714" spans="1:11" x14ac:dyDescent="0.25">
      <c r="A714" s="76"/>
    </row>
    <row r="715" spans="1:11" x14ac:dyDescent="0.25">
      <c r="A715" s="76"/>
    </row>
    <row r="716" spans="1:11" x14ac:dyDescent="0.25">
      <c r="A716" s="61"/>
    </row>
    <row r="717" spans="1:11" x14ac:dyDescent="0.25">
      <c r="A717" s="76"/>
    </row>
    <row r="718" spans="1:11" x14ac:dyDescent="0.25">
      <c r="A718" s="76"/>
    </row>
    <row r="719" spans="1:11" x14ac:dyDescent="0.25">
      <c r="A719" s="87"/>
      <c r="E719" s="108"/>
      <c r="F719"/>
    </row>
    <row r="720" spans="1:11" x14ac:dyDescent="0.25">
      <c r="A720" s="76"/>
      <c r="F720" s="109"/>
    </row>
    <row r="721" spans="1:9" x14ac:dyDescent="0.25">
      <c r="A721" s="76"/>
    </row>
    <row r="722" spans="1:9" x14ac:dyDescent="0.25">
      <c r="A722" s="61"/>
    </row>
    <row r="723" spans="1:9" x14ac:dyDescent="0.25">
      <c r="A723" s="61"/>
    </row>
    <row r="724" spans="1:9" x14ac:dyDescent="0.25">
      <c r="A724" s="61"/>
    </row>
    <row r="725" spans="1:9" x14ac:dyDescent="0.25">
      <c r="A725" s="65"/>
    </row>
    <row r="726" spans="1:9" x14ac:dyDescent="0.25">
      <c r="A726" s="76"/>
    </row>
    <row r="727" spans="1:9" x14ac:dyDescent="0.25">
      <c r="A727" s="76"/>
    </row>
    <row r="728" spans="1:9" x14ac:dyDescent="0.25">
      <c r="A728" s="76"/>
      <c r="E728" s="64"/>
    </row>
    <row r="729" spans="1:9" x14ac:dyDescent="0.25">
      <c r="A729" s="110"/>
      <c r="B729" s="111"/>
    </row>
    <row r="730" spans="1:9" x14ac:dyDescent="0.25">
      <c r="A730" s="61"/>
    </row>
    <row r="731" spans="1:9" x14ac:dyDescent="0.25">
      <c r="A731" s="61"/>
    </row>
    <row r="732" spans="1:9" x14ac:dyDescent="0.25">
      <c r="A732" s="61"/>
    </row>
    <row r="733" spans="1:9" x14ac:dyDescent="0.25">
      <c r="A733" s="61"/>
    </row>
    <row r="734" spans="1:9" x14ac:dyDescent="0.25">
      <c r="A734" s="61"/>
    </row>
    <row r="735" spans="1:9" x14ac:dyDescent="0.25">
      <c r="A735" s="61"/>
      <c r="I735" s="54"/>
    </row>
    <row r="736" spans="1:9" x14ac:dyDescent="0.25">
      <c r="A736" s="112"/>
    </row>
    <row r="737" spans="1:1" x14ac:dyDescent="0.25">
      <c r="A737" s="61"/>
    </row>
    <row r="738" spans="1:1" x14ac:dyDescent="0.25">
      <c r="A738" s="61"/>
    </row>
    <row r="739" spans="1:1" x14ac:dyDescent="0.25">
      <c r="A739" s="61"/>
    </row>
    <row r="740" spans="1:1" x14ac:dyDescent="0.25">
      <c r="A740" s="61"/>
    </row>
    <row r="741" spans="1:1" x14ac:dyDescent="0.25">
      <c r="A741" s="61"/>
    </row>
    <row r="742" spans="1:1" x14ac:dyDescent="0.25">
      <c r="A742" s="76"/>
    </row>
    <row r="743" spans="1:1" x14ac:dyDescent="0.25">
      <c r="A743" s="61"/>
    </row>
    <row r="744" spans="1:1" ht="40.4" customHeight="1" x14ac:dyDescent="0.25">
      <c r="A744" s="61"/>
    </row>
    <row r="745" spans="1:1" x14ac:dyDescent="0.25">
      <c r="A745" s="61"/>
    </row>
    <row r="746" spans="1:1" x14ac:dyDescent="0.25">
      <c r="A746" s="61"/>
    </row>
    <row r="747" spans="1:1" x14ac:dyDescent="0.25">
      <c r="A747" s="61"/>
    </row>
    <row r="748" spans="1:1" x14ac:dyDescent="0.25">
      <c r="A748" s="61"/>
    </row>
    <row r="749" spans="1:1" x14ac:dyDescent="0.25">
      <c r="A749" s="76"/>
    </row>
    <row r="750" spans="1:1" x14ac:dyDescent="0.25">
      <c r="A750" s="76"/>
    </row>
    <row r="751" spans="1:1" x14ac:dyDescent="0.25">
      <c r="A751" s="76"/>
    </row>
    <row r="752" spans="1:1" x14ac:dyDescent="0.25">
      <c r="A752" s="76"/>
    </row>
    <row r="753" spans="1:1" x14ac:dyDescent="0.25">
      <c r="A753" s="76"/>
    </row>
    <row r="754" spans="1:1" x14ac:dyDescent="0.25">
      <c r="A754" s="76"/>
    </row>
    <row r="755" spans="1:1" x14ac:dyDescent="0.25">
      <c r="A755" s="76"/>
    </row>
    <row r="756" spans="1:1" x14ac:dyDescent="0.25">
      <c r="A756" s="76"/>
    </row>
    <row r="757" spans="1:1" x14ac:dyDescent="0.25">
      <c r="A757" s="76"/>
    </row>
    <row r="1048576" ht="12.75" customHeight="1" x14ac:dyDescent="0.25"/>
  </sheetData>
  <autoFilter ref="A1:K391" xr:uid="{00000000-0009-0000-0000-000001000000}">
    <filterColumn colId="3">
      <filters blank="1">
        <filter val="09::20"/>
        <filter val="09:00"/>
        <filter val="09:05"/>
        <filter val="09:10"/>
        <filter val="09:15"/>
        <filter val="09:20"/>
        <filter val="09:25"/>
        <filter val="09:30"/>
        <filter val="09:35"/>
        <filter val="09:40"/>
        <filter val="09:45"/>
        <filter val="09:50"/>
        <filter val="10:00"/>
        <filter val="10:05"/>
        <filter val="10:10"/>
        <filter val="10:15"/>
        <filter val="10:20"/>
        <filter val="10:25"/>
        <filter val="10:30"/>
        <filter val="10:35"/>
        <filter val="10:40"/>
        <filter val="10:45"/>
        <filter val="10:50"/>
        <filter val="10:55"/>
        <filter val="11:00"/>
        <filter val="11:05"/>
        <filter val="11:10"/>
        <filter val="11:15"/>
        <filter val="11:20"/>
        <filter val="11:25"/>
        <filter val="11:30"/>
        <filter val="11:35"/>
        <filter val="11:40"/>
        <filter val="11:45"/>
        <filter val="11:50"/>
        <filter val="11:55"/>
        <filter val="12:00"/>
        <filter val="12:05"/>
        <filter val="12:10"/>
        <filter val="12:15"/>
        <filter val="12:30"/>
        <filter val="12:35"/>
        <filter val="12:40"/>
        <filter val="12:45"/>
        <filter val="12:50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596"/>
  <sheetViews>
    <sheetView zoomScaleNormal="100" workbookViewId="0">
      <pane ySplit="2" topLeftCell="A265" activePane="bottomLeft" state="frozen"/>
      <selection pane="bottomLeft" activeCell="D421" sqref="D421"/>
    </sheetView>
  </sheetViews>
  <sheetFormatPr baseColWidth="10" defaultColWidth="11.54296875" defaultRowHeight="12.5" x14ac:dyDescent="0.25"/>
  <cols>
    <col min="1" max="1" width="8.453125" style="90" customWidth="1"/>
    <col min="2" max="2" width="7.1796875" style="90" customWidth="1"/>
    <col min="3" max="3" width="36.1796875" style="91" customWidth="1"/>
    <col min="4" max="4" width="32.54296875" style="91" customWidth="1"/>
    <col min="5" max="5" width="45.81640625" style="92" customWidth="1"/>
    <col min="6" max="1024" width="11.54296875" style="93"/>
  </cols>
  <sheetData>
    <row r="1" spans="1:5" x14ac:dyDescent="0.25">
      <c r="A1" s="94"/>
      <c r="B1" s="169" t="s">
        <v>708</v>
      </c>
      <c r="C1" s="169"/>
      <c r="D1" s="169"/>
      <c r="E1" s="169"/>
    </row>
    <row r="2" spans="1:5" x14ac:dyDescent="0.25">
      <c r="A2" s="95" t="str">
        <f>Hoja1!B1</f>
        <v>DÍA</v>
      </c>
      <c r="B2" s="96" t="str">
        <f>Hoja1!C1</f>
        <v>HORA</v>
      </c>
      <c r="C2" s="95" t="s">
        <v>709</v>
      </c>
      <c r="D2" s="95" t="s">
        <v>710</v>
      </c>
      <c r="E2" s="97" t="s">
        <v>711</v>
      </c>
    </row>
    <row r="3" spans="1:5" ht="23" x14ac:dyDescent="0.25">
      <c r="A3" s="98">
        <f>Hoja1!B2</f>
        <v>44573</v>
      </c>
      <c r="B3" s="99">
        <f>Hoja1!C2</f>
        <v>0.39583333333333298</v>
      </c>
      <c r="C3" s="91" t="str">
        <f>Hoja1!D2</f>
        <v>NOUR EDDINE MOHAMED MOHAMEDI</v>
      </c>
      <c r="D3" s="91">
        <f>SERGIO!G2</f>
        <v>0</v>
      </c>
      <c r="E3" s="92" t="str">
        <f>Hoja1!E2</f>
        <v>HALIMA BUCHNACHI EL MESSAOUDI “PIZZERÍA LA ESPIGUERA”</v>
      </c>
    </row>
    <row r="4" spans="1:5" x14ac:dyDescent="0.25">
      <c r="A4" s="98">
        <f>Hoja1!B3</f>
        <v>44573</v>
      </c>
      <c r="B4" s="99">
        <f>Hoja1!C3</f>
        <v>0.39930555555555602</v>
      </c>
      <c r="C4" s="91" t="str">
        <f>Hoja1!D3</f>
        <v>OHL SERVICIOS INGESAN, S.A.</v>
      </c>
      <c r="D4" s="91" t="str">
        <f>SERGIO!G3</f>
        <v>FARID MOHAMED SAID</v>
      </c>
      <c r="E4" s="92" t="str">
        <f>Hoja1!E3</f>
        <v>ANA VICTORIA SCHILLER PIZANA</v>
      </c>
    </row>
    <row r="5" spans="1:5" x14ac:dyDescent="0.25">
      <c r="A5" s="98">
        <f>Hoja1!B4</f>
        <v>44573</v>
      </c>
      <c r="B5" s="99">
        <f>Hoja1!C4</f>
        <v>0.40277777777777801</v>
      </c>
      <c r="C5" s="91" t="str">
        <f>Hoja1!D4</f>
        <v>JACOBO RUIZ CORREA</v>
      </c>
      <c r="D5" s="91" t="str">
        <f>SERGIO!G4</f>
        <v>EVA GUILLÉN GARCÍA</v>
      </c>
      <c r="E5" s="92" t="str">
        <f>Hoja1!E4</f>
        <v>S.A.</v>
      </c>
    </row>
    <row r="6" spans="1:5" x14ac:dyDescent="0.25">
      <c r="A6" s="98">
        <f>Hoja1!B5</f>
        <v>44573</v>
      </c>
      <c r="B6" s="99">
        <f>Hoja1!C5</f>
        <v>0.40625</v>
      </c>
      <c r="C6" s="91" t="str">
        <f>Hoja1!D5</f>
        <v>MIMOUN EL  FEKRI</v>
      </c>
      <c r="D6" s="91" t="str">
        <f>SERGIO!G5</f>
        <v>FARID MOHAMED SAID</v>
      </c>
      <c r="E6" s="92" t="str">
        <f>Hoja1!E5</f>
        <v>MILADE, S.L.</v>
      </c>
    </row>
    <row r="7" spans="1:5" x14ac:dyDescent="0.25">
      <c r="A7" s="98">
        <f>Hoja1!B6</f>
        <v>44573</v>
      </c>
      <c r="B7" s="99">
        <f>Hoja1!C6</f>
        <v>0.40972222222222199</v>
      </c>
      <c r="C7" s="91" t="str">
        <f>Hoja1!D6</f>
        <v>ILHAM AHMED MOHAMED</v>
      </c>
      <c r="D7" s="91" t="str">
        <f>SERGIO!G6</f>
        <v>JOAQUÍN GARCÍA ANGOSTO</v>
      </c>
      <c r="E7" s="92" t="str">
        <f>Hoja1!E6</f>
        <v>LIWE ESPAÑOLA, S.A.</v>
      </c>
    </row>
    <row r="8" spans="1:5" x14ac:dyDescent="0.25">
      <c r="A8" s="98">
        <f>Hoja1!B7</f>
        <v>44573</v>
      </c>
      <c r="B8" s="99">
        <f>Hoja1!C7</f>
        <v>0.41319444444444398</v>
      </c>
      <c r="C8" s="91" t="str">
        <f>Hoja1!D7</f>
        <v>ABDELLAH HAMMOUTI</v>
      </c>
      <c r="D8" s="91" t="str">
        <f>SERGIO!G7</f>
        <v>FARID MOHAMED SAID</v>
      </c>
      <c r="E8" s="92" t="str">
        <f>Hoja1!E7</f>
        <v>REFORMAS Y PROYECTOS COYSE MELILLA, S.L.</v>
      </c>
    </row>
    <row r="9" spans="1:5" x14ac:dyDescent="0.25">
      <c r="A9" s="98">
        <f>Hoja1!B8</f>
        <v>44573</v>
      </c>
      <c r="B9" s="99">
        <f>Hoja1!C8</f>
        <v>0.41666666666666702</v>
      </c>
      <c r="C9" s="91" t="str">
        <f>Hoja1!D8</f>
        <v>MALIKA HAMMU MOHAND</v>
      </c>
      <c r="D9" s="91" t="str">
        <f>SERGIO!G8</f>
        <v>FARID MOHAMED SAID</v>
      </c>
      <c r="E9" s="92" t="str">
        <f>Hoja1!E8</f>
        <v>TALHER, S.A.</v>
      </c>
    </row>
    <row r="10" spans="1:5" x14ac:dyDescent="0.25">
      <c r="A10" s="98">
        <f>Hoja1!B9</f>
        <v>44573</v>
      </c>
      <c r="B10" s="99">
        <f>Hoja1!C9</f>
        <v>0.42013888888888901</v>
      </c>
      <c r="C10" s="91" t="str">
        <f>Hoja1!D9</f>
        <v>NURIA CARRETERO AVELINO</v>
      </c>
      <c r="D10" s="91" t="str">
        <f>SERGIO!G9</f>
        <v>FEDERICO BURLO DE ROJAS</v>
      </c>
      <c r="E10" s="92" t="str">
        <f>Hoja1!E9</f>
        <v>MARÍA DEL CARMEN PALACIOS COBO</v>
      </c>
    </row>
    <row r="11" spans="1:5" x14ac:dyDescent="0.25">
      <c r="A11" s="98">
        <f>Hoja1!B10</f>
        <v>44573</v>
      </c>
      <c r="B11" s="99">
        <f>Hoja1!C10</f>
        <v>0.42361111111111099</v>
      </c>
      <c r="C11" s="91" t="str">
        <f>Hoja1!D10</f>
        <v>JAMAL ROUCHDI</v>
      </c>
      <c r="D11" s="91" t="str">
        <f>SERGIO!G10</f>
        <v>JOAQUÍN GARCÍA ANGOSTO</v>
      </c>
      <c r="E11" s="92" t="str">
        <f>Hoja1!E10</f>
        <v>MOHAMED HADDOUCHI</v>
      </c>
    </row>
    <row r="12" spans="1:5" x14ac:dyDescent="0.25">
      <c r="A12" s="98">
        <f>Hoja1!B11</f>
        <v>44573</v>
      </c>
      <c r="B12" s="99">
        <f>Hoja1!C11</f>
        <v>0.42708333333333298</v>
      </c>
      <c r="C12" s="91" t="str">
        <f>Hoja1!D11</f>
        <v>TIJANI ZAHAF</v>
      </c>
      <c r="D12" s="91" t="str">
        <f>SERGIO!G11</f>
        <v>FARID AMED DRIS</v>
      </c>
      <c r="E12" s="92" t="str">
        <f>Hoja1!E11</f>
        <v>MAIR SADIA RUAS BELITY Y ALMIRU SL</v>
      </c>
    </row>
    <row r="13" spans="1:5" x14ac:dyDescent="0.25">
      <c r="A13" s="98">
        <f>Hoja1!B12</f>
        <v>44573</v>
      </c>
      <c r="B13" s="99">
        <f>Hoja1!C12</f>
        <v>0.43055555555555602</v>
      </c>
      <c r="C13" s="91" t="str">
        <f>Hoja1!D12</f>
        <v>ALI KASSEN AL LAL</v>
      </c>
      <c r="D13" s="91" t="str">
        <f>SERGIO!G12</f>
        <v>ALBERTO J. REQUENA POU</v>
      </c>
      <c r="E13" s="92" t="str">
        <f>Hoja1!E12</f>
        <v>VALORIZA SERVICIOS MEDIOAMBIENTALES</v>
      </c>
    </row>
    <row r="14" spans="1:5" ht="23" x14ac:dyDescent="0.25">
      <c r="A14" s="98">
        <f>Hoja1!B13</f>
        <v>44573</v>
      </c>
      <c r="B14" s="99">
        <f>Hoja1!C13</f>
        <v>0.43402777777777801</v>
      </c>
      <c r="C14" s="91" t="str">
        <f>Hoja1!D13</f>
        <v>LLAMAL EL IDRISSI MOHAMED</v>
      </c>
      <c r="D14" s="91" t="str">
        <f>SERGIO!G13</f>
        <v>JOAQUIN PEDRERO CEBALLOS</v>
      </c>
      <c r="E14" s="92" t="str">
        <f>Hoja1!E13</f>
        <v>PROSEGUR SOLUCIONES INTEGRALES SEGURIDAD ESPAÑA SL</v>
      </c>
    </row>
    <row r="15" spans="1:5" x14ac:dyDescent="0.25">
      <c r="A15" s="98">
        <f>Hoja1!B14</f>
        <v>44573</v>
      </c>
      <c r="B15" s="99">
        <f>Hoja1!C14</f>
        <v>0.4375</v>
      </c>
      <c r="C15" s="91" t="str">
        <f>Hoja1!D14</f>
        <v>ABDALES YAHYA</v>
      </c>
      <c r="D15" s="91" t="str">
        <f>SERGIO!G14</f>
        <v>SALOMON SERFATY BITTAN</v>
      </c>
      <c r="E15" s="92" t="str">
        <f>Hoja1!E14</f>
        <v>NAOUAL AHLLAL YOUSEF</v>
      </c>
    </row>
    <row r="16" spans="1:5" ht="23" x14ac:dyDescent="0.25">
      <c r="A16" s="98">
        <f>Hoja1!B15</f>
        <v>44573</v>
      </c>
      <c r="B16" s="99">
        <f>Hoja1!C15</f>
        <v>0.44097222222222199</v>
      </c>
      <c r="C16" s="91" t="str">
        <f>Hoja1!D15</f>
        <v>SUMISA ABDELAZIZ MIMON</v>
      </c>
      <c r="D16" s="91">
        <f>SERGIO!G15</f>
        <v>0</v>
      </c>
      <c r="E16" s="92" t="str">
        <f>Hoja1!E15</f>
        <v>M.ª DEL CARMEN RAMOS MEDINA (FARMACIA MODERNA)</v>
      </c>
    </row>
    <row r="17" spans="1:5" x14ac:dyDescent="0.25">
      <c r="A17" s="98">
        <f>Hoja1!B16</f>
        <v>44573</v>
      </c>
      <c r="B17" s="99">
        <f>Hoja1!C16</f>
        <v>0.44444444444444398</v>
      </c>
      <c r="C17" s="91" t="str">
        <f>Hoja1!D16</f>
        <v>SAMIR EL HOUARI AMADMAD</v>
      </c>
      <c r="D17" s="91">
        <f>SERGIO!G16</f>
        <v>0</v>
      </c>
      <c r="E17" s="92" t="str">
        <f>Hoja1!E16</f>
        <v>VALORIZA SERVICIOS MEDIOAMBIENTALES</v>
      </c>
    </row>
    <row r="18" spans="1:5" ht="23" x14ac:dyDescent="0.25">
      <c r="A18" s="98">
        <f>Hoja1!B17</f>
        <v>44573</v>
      </c>
      <c r="B18" s="99">
        <f>Hoja1!C17</f>
        <v>0.44791666666666702</v>
      </c>
      <c r="C18" s="91" t="str">
        <f>Hoja1!D17</f>
        <v>ALEJANDRO RUBIO ANTÓN</v>
      </c>
      <c r="D18" s="91" t="str">
        <f>SERGIO!G17</f>
        <v>DANIEL TEBAR CARMONA</v>
      </c>
      <c r="E18" s="92" t="str">
        <f>Hoja1!E17</f>
        <v>PROSEGUR SOLUCIONES INTEGRALES SEGURIDAD ESPAÑA SL</v>
      </c>
    </row>
    <row r="19" spans="1:5" x14ac:dyDescent="0.25">
      <c r="A19" s="98">
        <f>Hoja1!B18</f>
        <v>44573</v>
      </c>
      <c r="B19" s="99">
        <f>Hoja1!C18</f>
        <v>0.45138888888888901</v>
      </c>
      <c r="C19" s="91" t="str">
        <f>Hoja1!D18</f>
        <v>SAMIR EL HOUARI AMADMAD</v>
      </c>
      <c r="D19" s="91" t="str">
        <f>SERGIO!G18</f>
        <v>FARID MOHAMED SAID</v>
      </c>
      <c r="E19" s="92" t="str">
        <f>Hoja1!E18</f>
        <v>VALORIZA SERVICIOS MEDIOAMBIENTALES</v>
      </c>
    </row>
    <row r="20" spans="1:5" x14ac:dyDescent="0.25">
      <c r="A20" s="98">
        <f>Hoja1!B19</f>
        <v>44573</v>
      </c>
      <c r="B20" s="99">
        <f>Hoja1!C19</f>
        <v>0.45486111111111099</v>
      </c>
      <c r="C20" s="91" t="str">
        <f>Hoja1!D19</f>
        <v>SAMIR AMJAHAD TAHIRI</v>
      </c>
      <c r="D20" s="91" t="str">
        <f>SERGIO!G19</f>
        <v>FARID MOHAMED SAID</v>
      </c>
      <c r="E20" s="92" t="str">
        <f>Hoja1!E19</f>
        <v>VALORIZA SERVICIOS MEDIOAMBIENTALES</v>
      </c>
    </row>
    <row r="21" spans="1:5" x14ac:dyDescent="0.25">
      <c r="A21" s="98">
        <f>Hoja1!B20</f>
        <v>44573</v>
      </c>
      <c r="B21" s="99">
        <f>Hoja1!C20</f>
        <v>0.45833333333333298</v>
      </c>
      <c r="C21" s="91" t="str">
        <f>Hoja1!D20</f>
        <v>BOUCHRA BAZA</v>
      </c>
      <c r="D21" s="91" t="str">
        <f>SERGIO!G20</f>
        <v>FARID MOHAMED SAID</v>
      </c>
      <c r="E21" s="92" t="str">
        <f>Hoja1!E20</f>
        <v>VALORIZA SERVICIOS MEDIOAMBIENTALES</v>
      </c>
    </row>
    <row r="22" spans="1:5" x14ac:dyDescent="0.25">
      <c r="A22" s="98">
        <f>Hoja1!B21</f>
        <v>44580</v>
      </c>
      <c r="B22" s="99">
        <f>Hoja1!C21</f>
        <v>0.39583333333333298</v>
      </c>
      <c r="C22" s="91" t="str">
        <f>Hoja1!D21</f>
        <v>FRANCISCO AGUILERA FERNANDEZ</v>
      </c>
      <c r="D22" s="91">
        <f>SERGIO!G21</f>
        <v>0</v>
      </c>
      <c r="E22" s="92" t="str">
        <f>Hoja1!E21</f>
        <v>SURESTE SEGURIDAD S.L. Y EULEN S.A</v>
      </c>
    </row>
    <row r="23" spans="1:5" x14ac:dyDescent="0.25">
      <c r="A23" s="98">
        <f>Hoja1!B22</f>
        <v>44580</v>
      </c>
      <c r="B23" s="99">
        <f>Hoja1!C22</f>
        <v>0.39930555555555602</v>
      </c>
      <c r="C23" s="91" t="str">
        <f>Hoja1!D22</f>
        <v>YIHAM DRISS AMAR</v>
      </c>
      <c r="D23" s="91">
        <f>SERGIO!G22</f>
        <v>0</v>
      </c>
      <c r="E23" s="92" t="str">
        <f>Hoja1!E22</f>
        <v>EULEN SA Y CELCE SA</v>
      </c>
    </row>
    <row r="24" spans="1:5" x14ac:dyDescent="0.25">
      <c r="A24" s="98">
        <f>Hoja1!B23</f>
        <v>44580</v>
      </c>
      <c r="B24" s="99">
        <f>Hoja1!C23</f>
        <v>0.40277777777777801</v>
      </c>
      <c r="C24" s="91" t="str">
        <f>Hoja1!D23</f>
        <v>ISLAM OUASS HADI</v>
      </c>
      <c r="D24" s="91">
        <f>SERGIO!G23</f>
        <v>0</v>
      </c>
      <c r="E24" s="92" t="str">
        <f>Hoja1!E23</f>
        <v>EULEN SA Y CELCE SA</v>
      </c>
    </row>
    <row r="25" spans="1:5" x14ac:dyDescent="0.25">
      <c r="A25" s="98">
        <f>Hoja1!B24</f>
        <v>44580</v>
      </c>
      <c r="B25" s="99">
        <f>Hoja1!C24</f>
        <v>0.40625</v>
      </c>
      <c r="C25" s="91" t="str">
        <f>Hoja1!D24</f>
        <v>AMINA MOHAMED HASSAN</v>
      </c>
      <c r="D25" s="91" t="str">
        <f>SERGIO!G24</f>
        <v>JOAQUÍN GARCÍA ANGOSTO</v>
      </c>
      <c r="E25" s="92" t="str">
        <f>Hoja1!E24</f>
        <v>EULEN SA Y CELCE SA</v>
      </c>
    </row>
    <row r="26" spans="1:5" ht="23" x14ac:dyDescent="0.25">
      <c r="A26" s="98">
        <f>Hoja1!B25</f>
        <v>44580</v>
      </c>
      <c r="B26" s="99">
        <f>Hoja1!C25</f>
        <v>0.40972222222222199</v>
      </c>
      <c r="C26" s="91" t="str">
        <f>Hoja1!D25</f>
        <v>RACHID HAMED MOHAMED</v>
      </c>
      <c r="D26" s="91" t="str">
        <f>SERGIO!G25</f>
        <v>JOAQUÍN GARCÍA ANGOSTO</v>
      </c>
      <c r="E26" s="92" t="str">
        <f>Hoja1!E25</f>
        <v>PROSEGUR SOLUCIONES INTEGRALES SEGURIDAD ESPAÑA SL</v>
      </c>
    </row>
    <row r="27" spans="1:5" x14ac:dyDescent="0.25">
      <c r="A27" s="98">
        <f>Hoja1!B26</f>
        <v>44580</v>
      </c>
      <c r="B27" s="99">
        <f>Hoja1!C26</f>
        <v>0.41319444444444398</v>
      </c>
      <c r="C27" s="91" t="str">
        <f>Hoja1!D26</f>
        <v>ABDELLAH BENKOULLA AMHAROC</v>
      </c>
      <c r="D27" s="91" t="str">
        <f>SERGIO!G26</f>
        <v>JOAQUÍN GARCÍA ANGOSTO</v>
      </c>
      <c r="E27" s="92" t="str">
        <f>Hoja1!E26</f>
        <v>VALORIZA SERVICIOS MEDIOAMBIENTALES SA</v>
      </c>
    </row>
    <row r="28" spans="1:5" x14ac:dyDescent="0.25">
      <c r="A28" s="98">
        <f>Hoja1!B27</f>
        <v>44580</v>
      </c>
      <c r="B28" s="99">
        <f>Hoja1!C27</f>
        <v>0.41666666666666702</v>
      </c>
      <c r="C28" s="91" t="str">
        <f>Hoja1!D27</f>
        <v>ABDELLAH BENKOULLA AMHAROC</v>
      </c>
      <c r="D28" s="91" t="str">
        <f>SERGIO!G27</f>
        <v>JOSÉ MARÍA IGNACIO SÁNCHEZ CHOLBI</v>
      </c>
      <c r="E28" s="92" t="str">
        <f>Hoja1!E27</f>
        <v>VALORIZA SERVICIOS MEDIOAMBIENTALES SA</v>
      </c>
    </row>
    <row r="29" spans="1:5" x14ac:dyDescent="0.25">
      <c r="A29" s="98">
        <f>Hoja1!B28</f>
        <v>44580</v>
      </c>
      <c r="B29" s="99">
        <f>Hoja1!C28</f>
        <v>0.42013888888888901</v>
      </c>
      <c r="C29" s="91" t="str">
        <f>Hoja1!D28</f>
        <v>ABDLHUAHED AL LAL MOHAND</v>
      </c>
      <c r="D29" s="91">
        <f>SERGIO!G28</f>
        <v>0</v>
      </c>
      <c r="E29" s="92" t="str">
        <f>Hoja1!E28</f>
        <v>VALORIZA SERVICIOS MEDIOAMBIENTALES</v>
      </c>
    </row>
    <row r="30" spans="1:5" x14ac:dyDescent="0.25">
      <c r="A30" s="98">
        <f>Hoja1!B29</f>
        <v>44587</v>
      </c>
      <c r="B30" s="99">
        <f>Hoja1!C29</f>
        <v>0.39583333333333298</v>
      </c>
      <c r="C30" s="91" t="str">
        <f>Hoja1!D29</f>
        <v>FARAH BOUDAHOUY MOH</v>
      </c>
      <c r="D30" s="91" t="str">
        <f>SERGIO!G29</f>
        <v>FARID MOHAMED SAID</v>
      </c>
      <c r="E30" s="92" t="str">
        <f>Hoja1!E29</f>
        <v>ESGAMING, S.A.U.</v>
      </c>
    </row>
    <row r="31" spans="1:5" x14ac:dyDescent="0.25">
      <c r="A31" s="98">
        <f>Hoja1!B30</f>
        <v>44587</v>
      </c>
      <c r="B31" s="99">
        <f>Hoja1!C30</f>
        <v>0.39930555555555602</v>
      </c>
      <c r="C31" s="91" t="str">
        <f>Hoja1!D30</f>
        <v>YAMINA BUCHMAA AHMED</v>
      </c>
      <c r="D31" s="91" t="str">
        <f>SERGIO!G30</f>
        <v>GEMA FERRER RODRÍGUEZ</v>
      </c>
      <c r="E31" s="92" t="str">
        <f>Hoja1!E30</f>
        <v>MADE FOR SUCCESS, S.L.</v>
      </c>
    </row>
    <row r="32" spans="1:5" x14ac:dyDescent="0.25">
      <c r="A32" s="98">
        <f>Hoja1!B31</f>
        <v>44587</v>
      </c>
      <c r="B32" s="99">
        <f>Hoja1!C31</f>
        <v>0.40277777777777801</v>
      </c>
      <c r="C32" s="91" t="str">
        <f>Hoja1!D31</f>
        <v>HAFFOUDI EL HACHMIA</v>
      </c>
      <c r="D32" s="91" t="str">
        <f>SERGIO!G31</f>
        <v>FARID MOHAMED SAID</v>
      </c>
      <c r="E32" s="92" t="str">
        <f>Hoja1!E31</f>
        <v>MADE FOR SUCCESS, S.L.</v>
      </c>
    </row>
    <row r="33" spans="1:5" x14ac:dyDescent="0.25">
      <c r="A33" s="98">
        <f>Hoja1!B32</f>
        <v>44587</v>
      </c>
      <c r="B33" s="99">
        <f>Hoja1!C32</f>
        <v>0.40625</v>
      </c>
      <c r="C33" s="91" t="str">
        <f>Hoja1!D32</f>
        <v>NIEVES SANTIAGO SANTIAGO</v>
      </c>
      <c r="D33" s="91" t="str">
        <f>SERGIO!G32</f>
        <v>JOSÉ MARÍA IGNACIO SÁNCHEZ CHOLBI</v>
      </c>
      <c r="E33" s="92" t="str">
        <f>Hoja1!E32</f>
        <v>MADE FOR SUCCESS, S.L.</v>
      </c>
    </row>
    <row r="34" spans="1:5" x14ac:dyDescent="0.25">
      <c r="A34" s="98">
        <f>Hoja1!B33</f>
        <v>44587</v>
      </c>
      <c r="B34" s="99">
        <f>Hoja1!C33</f>
        <v>0.40972222222222199</v>
      </c>
      <c r="C34" s="91" t="str">
        <f>Hoja1!D33</f>
        <v>AMINA TAHIRI BENYAZZA</v>
      </c>
      <c r="D34" s="91" t="str">
        <f>SERGIO!G33</f>
        <v>JOSÉ MARÍA IGNACIO SÁNCHEZ CHOLBI</v>
      </c>
      <c r="E34" s="92" t="str">
        <f>Hoja1!E33</f>
        <v>MADE FOR SUCCESS, S.L.</v>
      </c>
    </row>
    <row r="35" spans="1:5" x14ac:dyDescent="0.25">
      <c r="A35" s="98">
        <f>Hoja1!B34</f>
        <v>44587</v>
      </c>
      <c r="B35" s="99">
        <f>Hoja1!C34</f>
        <v>0.41319444444444398</v>
      </c>
      <c r="C35" s="91" t="str">
        <f>Hoja1!D34</f>
        <v>JOSÉ ANTONIO ROMERO CARMONA</v>
      </c>
      <c r="D35" s="91" t="str">
        <f>SERGIO!G34</f>
        <v>JOAQUÍN GARCÍA ANGOSTO</v>
      </c>
      <c r="E35" s="92" t="str">
        <f>Hoja1!E34</f>
        <v>MADE FOR SUCCESS, S.L.</v>
      </c>
    </row>
    <row r="36" spans="1:5" x14ac:dyDescent="0.25">
      <c r="A36" s="98">
        <f>Hoja1!B35</f>
        <v>44587</v>
      </c>
      <c r="B36" s="99">
        <f>Hoja1!C35</f>
        <v>0.41666666666666702</v>
      </c>
      <c r="C36" s="91" t="str">
        <f>Hoja1!D35</f>
        <v>MIMOUN EL FECKRI</v>
      </c>
      <c r="D36" s="91" t="str">
        <f>SERGIO!G35</f>
        <v>JOSÉ MARÍA IGNACIO SÁNCHEZ CHOLBI</v>
      </c>
      <c r="E36" s="92" t="str">
        <f>Hoja1!E35</f>
        <v>MILADE, S.L.</v>
      </c>
    </row>
    <row r="37" spans="1:5" x14ac:dyDescent="0.25">
      <c r="A37" s="98">
        <f>Hoja1!B36</f>
        <v>44587</v>
      </c>
      <c r="B37" s="99">
        <f>Hoja1!C36</f>
        <v>0.42013888888888901</v>
      </c>
      <c r="C37" s="91" t="str">
        <f>Hoja1!D36</f>
        <v>KARIM HAMOUTI SEDDIKI</v>
      </c>
      <c r="D37" s="91" t="str">
        <f>SERGIO!G36</f>
        <v>JOSÉ MARÍA IGNACIO SÁNCHEZ CHOLBI</v>
      </c>
      <c r="E37" s="92" t="str">
        <f>Hoja1!E36</f>
        <v>MADE FOR SUCCESS, S.L.</v>
      </c>
    </row>
    <row r="38" spans="1:5" x14ac:dyDescent="0.25">
      <c r="A38" s="98">
        <f>Hoja1!B37</f>
        <v>44587</v>
      </c>
      <c r="B38" s="99">
        <f>Hoja1!C37</f>
        <v>0.42361111111111099</v>
      </c>
      <c r="C38" s="91" t="str">
        <f>Hoja1!D37</f>
        <v>ABDELILAD SATTAAH</v>
      </c>
      <c r="D38" s="91" t="str">
        <f>SERGIO!G37</f>
        <v>DAVID MARÍN SÁNCHEZ</v>
      </c>
      <c r="E38" s="92" t="str">
        <f>Hoja1!E37</f>
        <v>MADE FOR SUCCESS, S.L.</v>
      </c>
    </row>
    <row r="39" spans="1:5" x14ac:dyDescent="0.25">
      <c r="A39" s="98">
        <f>Hoja1!B38</f>
        <v>44587</v>
      </c>
      <c r="B39" s="99">
        <f>Hoja1!C38</f>
        <v>0.42708333333333298</v>
      </c>
      <c r="C39" s="91" t="str">
        <f>Hoja1!D38</f>
        <v>YAMINA BUCHMAA AHMED</v>
      </c>
      <c r="D39" s="91" t="str">
        <f>SERGIO!G38</f>
        <v>JOAQUÍN GARCÍA ANGOSTO</v>
      </c>
      <c r="E39" s="92" t="str">
        <f>Hoja1!E38</f>
        <v>MADE FOR SUCCESS, S.L.</v>
      </c>
    </row>
    <row r="40" spans="1:5" x14ac:dyDescent="0.25">
      <c r="A40" s="98">
        <f>Hoja1!B39</f>
        <v>44587</v>
      </c>
      <c r="B40" s="99">
        <f>Hoja1!C39</f>
        <v>0.43055555555555602</v>
      </c>
      <c r="C40" s="91" t="str">
        <f>Hoja1!D39</f>
        <v>NAIMA HAMU BOASA</v>
      </c>
      <c r="D40" s="91" t="str">
        <f>SERGIO!G39</f>
        <v>JOSÉ MARÍA IGNACIO SÁNCHEZ CHOLBI</v>
      </c>
      <c r="E40" s="92" t="str">
        <f>Hoja1!E39</f>
        <v>MADE FOR SUCCESS, S.L.</v>
      </c>
    </row>
    <row r="41" spans="1:5" x14ac:dyDescent="0.25">
      <c r="A41" s="98">
        <f>Hoja1!B40</f>
        <v>44587</v>
      </c>
      <c r="B41" s="99">
        <f>Hoja1!C40</f>
        <v>0.43402777777777801</v>
      </c>
      <c r="C41" s="91" t="str">
        <f>Hoja1!D40</f>
        <v>JOSÉ LUIS GONZÁLEZ FUENTES</v>
      </c>
      <c r="D41" s="91" t="str">
        <f>SERGIO!G40</f>
        <v>JOSÉ MARÍA IGNACIO SÁNCHEZ CHOLBI</v>
      </c>
      <c r="E41" s="92" t="str">
        <f>Hoja1!E40</f>
        <v>MANTENIMIENTOS TERRESTRES, S.L.</v>
      </c>
    </row>
    <row r="42" spans="1:5" x14ac:dyDescent="0.25">
      <c r="A42" s="98">
        <f>Hoja1!B41</f>
        <v>44587</v>
      </c>
      <c r="B42" s="99">
        <f>Hoja1!C41</f>
        <v>0.4375</v>
      </c>
      <c r="C42" s="91" t="str">
        <f>Hoja1!D41</f>
        <v>AMINA TAHIRI BENYAZZA</v>
      </c>
      <c r="D42" s="91" t="str">
        <f>SERGIO!G41</f>
        <v>FARID MOHAMED SAID</v>
      </c>
      <c r="E42" s="92" t="str">
        <f>Hoja1!E41</f>
        <v>MADE FOR SUCCESS, S.L.</v>
      </c>
    </row>
    <row r="43" spans="1:5" x14ac:dyDescent="0.25">
      <c r="A43" s="98">
        <f>Hoja1!B42</f>
        <v>44587</v>
      </c>
      <c r="B43" s="99">
        <f>Hoja1!C42</f>
        <v>0.44097222222222199</v>
      </c>
      <c r="C43" s="91" t="str">
        <f>Hoja1!D42</f>
        <v>ABDELILAD SATTAAH</v>
      </c>
      <c r="D43" s="91" t="str">
        <f>SERGIO!G42</f>
        <v>ABELMAYID SAID DRIS</v>
      </c>
      <c r="E43" s="92" t="str">
        <f>Hoja1!E42</f>
        <v>MADE FOR SUCCESS, S.L.</v>
      </c>
    </row>
    <row r="44" spans="1:5" x14ac:dyDescent="0.25">
      <c r="A44" s="98">
        <f>Hoja1!B43</f>
        <v>44587</v>
      </c>
      <c r="B44" s="99">
        <f>Hoja1!C43</f>
        <v>0.44444444444444398</v>
      </c>
      <c r="C44" s="91" t="str">
        <f>Hoja1!D43</f>
        <v>JOSÉ ANTONIO ROMERO CARMONA</v>
      </c>
      <c r="D44" s="91" t="str">
        <f>SERGIO!G43</f>
        <v>JOAQUIN  GARCÍA ANGOSTO</v>
      </c>
      <c r="E44" s="92" t="str">
        <f>Hoja1!E43</f>
        <v>MADE FOR SUCCESS, S.L.</v>
      </c>
    </row>
    <row r="45" spans="1:5" x14ac:dyDescent="0.25">
      <c r="A45" s="98">
        <f>Hoja1!B44</f>
        <v>44587</v>
      </c>
      <c r="B45" s="99">
        <f>Hoja1!C44</f>
        <v>0.44791666666666702</v>
      </c>
      <c r="C45" s="91" t="str">
        <f>Hoja1!D44</f>
        <v>KARIM HAMOUTI SEDDIKI</v>
      </c>
      <c r="D45" s="91" t="str">
        <f>SERGIO!G44</f>
        <v>JOAQUÍN GARCÍA ANGOSTO</v>
      </c>
      <c r="E45" s="92" t="str">
        <f>Hoja1!E44</f>
        <v>MADE FOR SUCCESS, S.L.</v>
      </c>
    </row>
    <row r="46" spans="1:5" x14ac:dyDescent="0.25">
      <c r="A46" s="98">
        <f>Hoja1!B45</f>
        <v>44587</v>
      </c>
      <c r="B46" s="99">
        <f>Hoja1!C45</f>
        <v>0.45138888888888901</v>
      </c>
      <c r="C46" s="91" t="str">
        <f>Hoja1!D45</f>
        <v>ÁNGELES CONDE OLIVER</v>
      </c>
      <c r="D46" s="91" t="str">
        <f>SERGIO!G45</f>
        <v>SALOMON SERFATY BITTAN</v>
      </c>
      <c r="E46" s="92" t="str">
        <f>Hoja1!E45</f>
        <v>MADE FOR SUCCESS, S.L.</v>
      </c>
    </row>
    <row r="47" spans="1:5" x14ac:dyDescent="0.25">
      <c r="A47" s="98">
        <f>Hoja1!B46</f>
        <v>44587</v>
      </c>
      <c r="B47" s="99">
        <f>Hoja1!C46</f>
        <v>0.45486111111111099</v>
      </c>
      <c r="C47" s="91" t="str">
        <f>Hoja1!D46</f>
        <v>NAIMA HAMU BOASA</v>
      </c>
      <c r="D47" s="91">
        <f>SERGIO!G46</f>
        <v>0</v>
      </c>
      <c r="E47" s="92" t="str">
        <f>Hoja1!E46</f>
        <v>MADE FOR SUCCESS, S.L.</v>
      </c>
    </row>
    <row r="48" spans="1:5" x14ac:dyDescent="0.25">
      <c r="A48" s="98">
        <f>Hoja1!B47</f>
        <v>44587</v>
      </c>
      <c r="B48" s="99">
        <f>Hoja1!C47</f>
        <v>0.45833333333333298</v>
      </c>
      <c r="C48" s="91" t="str">
        <f>Hoja1!D47</f>
        <v>NIEVES SANTIAGO SANTIAGO</v>
      </c>
      <c r="D48" s="91" t="str">
        <f>SERGIO!G47</f>
        <v>GEMA FERRER RODRÍGUEZ</v>
      </c>
      <c r="E48" s="92" t="str">
        <f>Hoja1!E47</f>
        <v>MADE FOR SUCCESS, S.L.</v>
      </c>
    </row>
    <row r="49" spans="1:5" x14ac:dyDescent="0.25">
      <c r="A49" s="98">
        <f>Hoja1!B48</f>
        <v>44587</v>
      </c>
      <c r="B49" s="99">
        <f>Hoja1!C48</f>
        <v>0.46180555555555602</v>
      </c>
      <c r="C49" s="91" t="str">
        <f>Hoja1!D48</f>
        <v>HAFFOUDI EL HACHNIA</v>
      </c>
      <c r="D49" s="91" t="str">
        <f>SERGIO!G48</f>
        <v>ENRIQUE ALCOBA VIZCAÍNO</v>
      </c>
      <c r="E49" s="92" t="str">
        <f>Hoja1!E48</f>
        <v>MADE FOR SUCCESS, S.L.</v>
      </c>
    </row>
    <row r="50" spans="1:5" x14ac:dyDescent="0.25">
      <c r="A50" s="98">
        <f>Hoja1!B49</f>
        <v>44587</v>
      </c>
      <c r="B50" s="99">
        <f>Hoja1!C49</f>
        <v>0.46527777777777801</v>
      </c>
      <c r="C50" s="91" t="str">
        <f>Hoja1!D49</f>
        <v>ÁNGELES CONDE OLIVER</v>
      </c>
      <c r="D50" s="91" t="str">
        <f>SERGIO!G49</f>
        <v>VÍCTOR REYES DOMÍNGUEZ</v>
      </c>
      <c r="E50" s="92" t="str">
        <f>Hoja1!E49</f>
        <v>MADE FOR SUCCESS, S.L.</v>
      </c>
    </row>
    <row r="51" spans="1:5" x14ac:dyDescent="0.25">
      <c r="A51" s="98">
        <f>Hoja1!B50</f>
        <v>44594</v>
      </c>
      <c r="B51" s="99">
        <f>Hoja1!C50</f>
        <v>0.39583333333333298</v>
      </c>
      <c r="C51" s="91" t="str">
        <f>Hoja1!D50</f>
        <v>ABDELKARIM TAOUIL</v>
      </c>
      <c r="D51" s="91" t="str">
        <f>SERGIO!G50</f>
        <v>VÍCTOR REYES DOMÍNGUEZ</v>
      </c>
      <c r="E51" s="92" t="str">
        <f>Hoja1!E50</f>
        <v>VALORIZA SERVICIOS MEDIOAMBIENTALES</v>
      </c>
    </row>
    <row r="52" spans="1:5" x14ac:dyDescent="0.25">
      <c r="A52" s="98">
        <f>Hoja1!B51</f>
        <v>44594</v>
      </c>
      <c r="B52" s="99">
        <f>Hoja1!C51</f>
        <v>0.39930555555555602</v>
      </c>
      <c r="C52" s="91" t="str">
        <f>Hoja1!D51</f>
        <v>NADIA EL KASMI</v>
      </c>
      <c r="D52" s="91" t="str">
        <f>SERGIO!G51</f>
        <v>VÍCTOR REYES DOMÍNGUEZ</v>
      </c>
      <c r="E52" s="92" t="str">
        <f>Hoja1!E51</f>
        <v>VALORIZA SERVICIOS MEDIOAMBIENTALES</v>
      </c>
    </row>
    <row r="53" spans="1:5" x14ac:dyDescent="0.25">
      <c r="A53" s="98">
        <f>Hoja1!B52</f>
        <v>44594</v>
      </c>
      <c r="B53" s="99">
        <f>Hoja1!C52</f>
        <v>0.40277777777777801</v>
      </c>
      <c r="C53" s="91" t="str">
        <f>Hoja1!D52</f>
        <v>MARÍA SAMBU EL BARRAQ</v>
      </c>
      <c r="D53" s="91" t="str">
        <f>SERGIO!G52</f>
        <v>VÍCTOR REYES DOMÍNGUEZ</v>
      </c>
      <c r="E53" s="92" t="str">
        <f>Hoja1!E52</f>
        <v>JOSÉ MARÍA ESTRUCH LAHSAINI</v>
      </c>
    </row>
    <row r="54" spans="1:5" x14ac:dyDescent="0.25">
      <c r="A54" s="98">
        <f>Hoja1!B53</f>
        <v>44580</v>
      </c>
      <c r="B54" s="99">
        <f>Hoja1!C53</f>
        <v>0.42361111111111099</v>
      </c>
      <c r="C54" s="91" t="str">
        <f>Hoja1!D53</f>
        <v>SANDRA GUEVARA MARQUEZ</v>
      </c>
      <c r="D54" s="91" t="str">
        <f>SERGIO!G53</f>
        <v>VÍCTOR REYES DOMÍNGUEZ</v>
      </c>
      <c r="E54" s="92" t="str">
        <f>Hoja1!E53</f>
        <v>RENVERSE SLU</v>
      </c>
    </row>
    <row r="55" spans="1:5" x14ac:dyDescent="0.25">
      <c r="A55" s="98">
        <f>Hoja1!B54</f>
        <v>44594</v>
      </c>
      <c r="B55" s="99">
        <f>Hoja1!C54</f>
        <v>0.40972222222222199</v>
      </c>
      <c r="C55" s="91" t="str">
        <f>Hoja1!D54</f>
        <v>ICRAM MOHAMED ABDELKADER</v>
      </c>
      <c r="D55" s="91" t="str">
        <f>SERGIO!G54</f>
        <v>VÍCTOR REYES DOMÍNGUEZ</v>
      </c>
      <c r="E55" s="92" t="str">
        <f>Hoja1!E54</f>
        <v>LAILA AL-LAL AMAR “PREGO DECORACIÓN”</v>
      </c>
    </row>
    <row r="56" spans="1:5" x14ac:dyDescent="0.25">
      <c r="A56" s="98">
        <f>Hoja1!B55</f>
        <v>44594</v>
      </c>
      <c r="B56" s="99">
        <f>Hoja1!C55</f>
        <v>0.41319444444444398</v>
      </c>
      <c r="C56" s="91" t="str">
        <f>Hoja1!D55</f>
        <v>NADIA EL KASMI</v>
      </c>
      <c r="D56" s="91" t="str">
        <f>SERGIO!G55</f>
        <v>VÍCTOR REYES DOMÍNGUEZ</v>
      </c>
      <c r="E56" s="92" t="str">
        <f>Hoja1!E55</f>
        <v>VALORIZA SERVICIOS MEDIOAMBIENTALES SA</v>
      </c>
    </row>
    <row r="57" spans="1:5" x14ac:dyDescent="0.25">
      <c r="A57" s="98">
        <f>Hoja1!B56</f>
        <v>44594</v>
      </c>
      <c r="B57" s="99">
        <f>Hoja1!C56</f>
        <v>0.41666666666666702</v>
      </c>
      <c r="C57" s="91" t="str">
        <f>Hoja1!D56</f>
        <v>ABDEL BIL MOHAND ABDEL LA</v>
      </c>
      <c r="D57" s="91" t="str">
        <f>SERGIO!G56</f>
        <v>VÍCTOR REYES DOMÍNGUEZ</v>
      </c>
      <c r="E57" s="92" t="str">
        <f>Hoja1!E56</f>
        <v>FDS MELILLA, S.L.</v>
      </c>
    </row>
    <row r="58" spans="1:5" ht="23" x14ac:dyDescent="0.25">
      <c r="A58" s="98">
        <f>Hoja1!B57</f>
        <v>44594</v>
      </c>
      <c r="B58" s="99">
        <f>Hoja1!C57</f>
        <v>0.42013888888888901</v>
      </c>
      <c r="C58" s="91" t="str">
        <f>Hoja1!D57</f>
        <v>NOUR EDDINE MOHAMED MOHAMEDI</v>
      </c>
      <c r="D58" s="91" t="str">
        <f>SERGIO!G57</f>
        <v>JOAQUÍN GARCÍA ANGOSTO</v>
      </c>
      <c r="E58" s="92" t="str">
        <f>Hoja1!E57</f>
        <v>HALIMA BUCHNACHI EL MESSAOUDI “PIZZERÍA LA ESPIGUERA”</v>
      </c>
    </row>
    <row r="59" spans="1:5" x14ac:dyDescent="0.25">
      <c r="A59" s="98">
        <f>Hoja1!B58</f>
        <v>44594</v>
      </c>
      <c r="B59" s="99">
        <f>Hoja1!C58</f>
        <v>0.42361111111111099</v>
      </c>
      <c r="C59" s="91" t="str">
        <f>Hoja1!D58</f>
        <v>ISAM SALIM MOJZI</v>
      </c>
      <c r="D59" s="91" t="str">
        <f>SERGIO!G58</f>
        <v>ABDELMAYID SAID DRIS</v>
      </c>
      <c r="E59" s="92" t="str">
        <f>Hoja1!E58</f>
        <v>RENVERSE, S.L.</v>
      </c>
    </row>
    <row r="60" spans="1:5" x14ac:dyDescent="0.25">
      <c r="A60" s="98">
        <f>Hoja1!B59</f>
        <v>44594</v>
      </c>
      <c r="B60" s="99">
        <f>Hoja1!C59</f>
        <v>0.42708333333333298</v>
      </c>
      <c r="C60" s="91" t="str">
        <f>Hoja1!D59</f>
        <v>JOSÉ MANUEL ÁLVAREZ GRANADOS</v>
      </c>
      <c r="D60" s="91" t="str">
        <f>SERGIO!G59</f>
        <v>FARID AHMED DRIS</v>
      </c>
      <c r="E60" s="92" t="str">
        <f>Hoja1!E59</f>
        <v>SURESTE SEGURIDAD, S.L.</v>
      </c>
    </row>
    <row r="61" spans="1:5" x14ac:dyDescent="0.25">
      <c r="A61" s="98">
        <f>Hoja1!B60</f>
        <v>44594</v>
      </c>
      <c r="B61" s="99">
        <f>Hoja1!C60</f>
        <v>0.43055555555555602</v>
      </c>
      <c r="C61" s="91" t="str">
        <f>Hoja1!D60</f>
        <v>TIJANI AZAHAF</v>
      </c>
      <c r="D61" s="91" t="str">
        <f>SERGIO!G60</f>
        <v>JOAQUÍN PEDRERO CEBALLOS</v>
      </c>
      <c r="E61" s="92" t="str">
        <f>Hoja1!E60</f>
        <v>MAIR SADIA RUAS BELITY Y ALMIRU SL</v>
      </c>
    </row>
    <row r="62" spans="1:5" x14ac:dyDescent="0.25">
      <c r="A62" s="98">
        <f>Hoja1!B61</f>
        <v>44594</v>
      </c>
      <c r="B62" s="99">
        <f>Hoja1!C61</f>
        <v>0.43402777777777801</v>
      </c>
      <c r="C62" s="91" t="str">
        <f>Hoja1!D61</f>
        <v>UNIÓN DEPORTIVA MELILLA</v>
      </c>
      <c r="D62" s="91" t="str">
        <f>SERGIO!G61</f>
        <v>JOAQUÍN GARCÍA ANGOSTO</v>
      </c>
      <c r="E62" s="92" t="str">
        <f>Hoja1!E61</f>
        <v>JON CEBEIRO MUTUBERRIA</v>
      </c>
    </row>
    <row r="63" spans="1:5" ht="34.5" x14ac:dyDescent="0.25">
      <c r="A63" s="98">
        <f>Hoja1!B62</f>
        <v>44601</v>
      </c>
      <c r="B63" s="99">
        <f>Hoja1!C62</f>
        <v>0.39583333333333298</v>
      </c>
      <c r="C63" s="91" t="str">
        <f>Hoja1!D62</f>
        <v>ABDESSLAM LATRACH</v>
      </c>
      <c r="D63" s="91">
        <f>SERGIO!G62</f>
        <v>0</v>
      </c>
      <c r="E63" s="92" t="str">
        <f>Hoja1!E62</f>
        <v>VALORIZA SERVICIOS MEDIOAMBIENTALES Y UTE URBASER, S.A. Y FOMENTO CONSTRUCCIONES Y CONTRATAS</v>
      </c>
    </row>
    <row r="64" spans="1:5" x14ac:dyDescent="0.25">
      <c r="A64" s="98">
        <f>Hoja1!B63</f>
        <v>44594</v>
      </c>
      <c r="B64" s="99">
        <f>Hoja1!C63</f>
        <v>0.4375</v>
      </c>
      <c r="C64" s="91" t="str">
        <f>Hoja1!D63</f>
        <v>PEDRO ORTIZ MARTÍNEZ</v>
      </c>
      <c r="D64" s="91" t="str">
        <f>SERGIO!G63</f>
        <v>JOAQUÍN GARCÍA ANGOSTO</v>
      </c>
      <c r="E64" s="92" t="str">
        <f>Hoja1!E63</f>
        <v>SURESTE SEGURIDAD, S.L.</v>
      </c>
    </row>
    <row r="65" spans="1:5" x14ac:dyDescent="0.25">
      <c r="A65" s="98">
        <f>Hoja1!B64</f>
        <v>44594</v>
      </c>
      <c r="B65" s="99">
        <f>Hoja1!C64</f>
        <v>0.44097222222222199</v>
      </c>
      <c r="C65" s="91" t="str">
        <f>Hoja1!D64</f>
        <v>MOHAMED LAARBI MOHAMED</v>
      </c>
      <c r="D65" s="91" t="str">
        <f>SERGIO!G64</f>
        <v>ABDELMAYID SAID DRIS</v>
      </c>
      <c r="E65" s="92" t="str">
        <f>Hoja1!E64</f>
        <v>VALORIZA SERVICIOS MEDIOAMBIENTALES</v>
      </c>
    </row>
    <row r="66" spans="1:5" x14ac:dyDescent="0.25">
      <c r="A66" s="98">
        <f>Hoja1!B65</f>
        <v>44594</v>
      </c>
      <c r="B66" s="99">
        <f>Hoja1!C65</f>
        <v>0.44444444444444398</v>
      </c>
      <c r="C66" s="91" t="str">
        <f>Hoja1!D65</f>
        <v>MOHAMED MOHAND MOHAMED</v>
      </c>
      <c r="D66" s="91">
        <f>SERGIO!G65</f>
        <v>0</v>
      </c>
      <c r="E66" s="92" t="str">
        <f>Hoja1!E65</f>
        <v>VALORIZA SERVICIOS MEDIOAMBIENTALES</v>
      </c>
    </row>
    <row r="67" spans="1:5" x14ac:dyDescent="0.25">
      <c r="A67" s="98">
        <f>Hoja1!B66</f>
        <v>44594</v>
      </c>
      <c r="B67" s="99">
        <f>Hoja1!C66</f>
        <v>0.44791666666666702</v>
      </c>
      <c r="C67" s="91" t="str">
        <f>Hoja1!D66</f>
        <v>MOHAMED ZANNA MOHAMED</v>
      </c>
      <c r="D67" s="91" t="str">
        <f>SERGIO!G66</f>
        <v>ENRIQUE ALCOBA VIZCAÍNO</v>
      </c>
      <c r="E67" s="92" t="str">
        <f>Hoja1!E66</f>
        <v>VALORIZA SERVICIOS MEDIOAMBIENTALES</v>
      </c>
    </row>
    <row r="68" spans="1:5" x14ac:dyDescent="0.25">
      <c r="A68" s="98">
        <f>Hoja1!B67</f>
        <v>44594</v>
      </c>
      <c r="B68" s="99">
        <f>Hoja1!C67</f>
        <v>0.45138888888888901</v>
      </c>
      <c r="C68" s="91" t="str">
        <f>Hoja1!D67</f>
        <v>ALBERTO GUTIÉRREZ KASEN</v>
      </c>
      <c r="D68" s="91">
        <f>SERGIO!G67</f>
        <v>0</v>
      </c>
      <c r="E68" s="92" t="str">
        <f>Hoja1!E67</f>
        <v>VALORIZA SERVICIOS MEDIOAMBIENTALES</v>
      </c>
    </row>
    <row r="69" spans="1:5" x14ac:dyDescent="0.25">
      <c r="A69" s="98">
        <f>Hoja1!B68</f>
        <v>44594</v>
      </c>
      <c r="B69" s="99">
        <f>Hoja1!C68</f>
        <v>0.45486111111111099</v>
      </c>
      <c r="C69" s="91" t="str">
        <f>Hoja1!D68</f>
        <v>JAKIN AHMED MIMUN</v>
      </c>
      <c r="D69" s="91">
        <f>SERGIO!G68</f>
        <v>0</v>
      </c>
      <c r="E69" s="92" t="str">
        <f>Hoja1!E68</f>
        <v>VALORIZA SERVICIOS MEDIOAMBIENTALES</v>
      </c>
    </row>
    <row r="70" spans="1:5" x14ac:dyDescent="0.25">
      <c r="A70" s="98">
        <f>Hoja1!B69</f>
        <v>44594</v>
      </c>
      <c r="B70" s="99">
        <f>Hoja1!C69</f>
        <v>0.45833333333333298</v>
      </c>
      <c r="C70" s="91" t="str">
        <f>Hoja1!D69</f>
        <v>SAMIR AMJAHAD TAHIRI</v>
      </c>
      <c r="D70" s="91" t="str">
        <f>SERGIO!I69</f>
        <v>ASOCIACION DE EMPRESARIOS DE INSTALADORES Y MANTENDEDORES DE MELILLA
SINDICATO CCOO
 FEDERACIÓN DE INDUSTRIA, CONSTRUCCIÓN Y AGRO-UGT</v>
      </c>
      <c r="E70" s="92" t="str">
        <f>Hoja1!E69</f>
        <v>VALORIZA SERVICIOS MEDIOAMBIENTALES</v>
      </c>
    </row>
    <row r="71" spans="1:5" x14ac:dyDescent="0.25">
      <c r="A71" s="98">
        <f>Hoja1!B70</f>
        <v>44601</v>
      </c>
      <c r="B71" s="99">
        <f>Hoja1!C70</f>
        <v>0.39930555555555602</v>
      </c>
      <c r="C71" s="91" t="str">
        <f>Hoja1!D70</f>
        <v>NEZHA EL GUASSAA</v>
      </c>
      <c r="D71" s="91" t="str">
        <f>SERGIO!G70</f>
        <v>JOSÉ MARÍA IGNACIO SÁNCHEZ CHOLBI</v>
      </c>
      <c r="E71" s="92" t="str">
        <f>Hoja1!E70</f>
        <v>DRYCOLD GOOD, S.L. Y JOSÉ BENAIM ASERRAF</v>
      </c>
    </row>
    <row r="72" spans="1:5" x14ac:dyDescent="0.25">
      <c r="A72" s="98">
        <f>Hoja1!B71</f>
        <v>44601</v>
      </c>
      <c r="B72" s="99">
        <f>Hoja1!C71</f>
        <v>0.39930555555555602</v>
      </c>
      <c r="C72" s="91" t="str">
        <f>Hoja1!D71</f>
        <v>NEZHA EL GUASSAA</v>
      </c>
      <c r="D72" s="91" t="str">
        <f>SERGIO!G71</f>
        <v>MARÍA DOLORES LÓPEZ GUARDIA</v>
      </c>
      <c r="E72" s="92" t="str">
        <f>Hoja1!E71</f>
        <v>DRYCOLD GOOD, S.L. Y JOSÉ BENAIM ASERRAF</v>
      </c>
    </row>
    <row r="73" spans="1:5" x14ac:dyDescent="0.25">
      <c r="A73" s="98">
        <f>Hoja1!B72</f>
        <v>44601</v>
      </c>
      <c r="B73" s="99">
        <f>Hoja1!C72</f>
        <v>0.40277777777777801</v>
      </c>
      <c r="C73" s="91" t="str">
        <f>Hoja1!D72</f>
        <v>SAID TOURICH</v>
      </c>
      <c r="D73" s="91" t="str">
        <f>SERGIO!G72</f>
        <v>FARID MOHAMED SAID</v>
      </c>
      <c r="E73" s="92" t="str">
        <f>Hoja1!E72</f>
        <v>VALORIZA SERVICIOS MEDIOAMBIENTALES, S.A.</v>
      </c>
    </row>
    <row r="74" spans="1:5" x14ac:dyDescent="0.25">
      <c r="A74" s="98">
        <f>Hoja1!B73</f>
        <v>44601</v>
      </c>
      <c r="B74" s="99">
        <f>Hoja1!C73</f>
        <v>0.40625</v>
      </c>
      <c r="C74" s="91" t="str">
        <f>Hoja1!D73</f>
        <v>MHAMED EL OUARIACHI AMAKHTARI</v>
      </c>
      <c r="D74" s="91" t="str">
        <f>SERGIO!G77</f>
        <v>FARID MOHAMED SAID</v>
      </c>
      <c r="E74" s="92" t="str">
        <f>Hoja1!E73</f>
        <v>VALORIZA SERVICIOS MEDIOAMBIENTALES, S.A.</v>
      </c>
    </row>
    <row r="75" spans="1:5" x14ac:dyDescent="0.25">
      <c r="A75" s="98">
        <f>Hoja1!B74</f>
        <v>44601</v>
      </c>
      <c r="B75" s="99">
        <f>Hoja1!C74</f>
        <v>0.40972222222222199</v>
      </c>
      <c r="C75" s="91" t="str">
        <f>Hoja1!D74</f>
        <v>ABDELHAKIM AL BANYAHYATI ZARIOH</v>
      </c>
      <c r="D75" s="91" t="str">
        <f>SERGIO!G74</f>
        <v>JOAQUÍN PEDRERO CEBALLOS</v>
      </c>
      <c r="E75" s="92" t="str">
        <f>Hoja1!E74</f>
        <v>VALORIZA SERVICIOS MEDIOAMBIENTALES, S.A.</v>
      </c>
    </row>
    <row r="76" spans="1:5" x14ac:dyDescent="0.25">
      <c r="A76" s="98">
        <f>Hoja1!B75</f>
        <v>44601</v>
      </c>
      <c r="B76" s="99">
        <f>Hoja1!C75</f>
        <v>0.41319444444444398</v>
      </c>
      <c r="C76" s="91" t="str">
        <f>Hoja1!D75</f>
        <v>KARIM MUSTAFA MIZZIAN</v>
      </c>
      <c r="D76" s="91" t="str">
        <f>SERGIO!G75</f>
        <v>FARID MOHAMED SAID</v>
      </c>
      <c r="E76" s="92" t="str">
        <f>Hoja1!E75</f>
        <v>SURESTE SEGURIDAD, S.L.</v>
      </c>
    </row>
    <row r="77" spans="1:5" x14ac:dyDescent="0.25">
      <c r="A77" s="98">
        <f>Hoja1!B76</f>
        <v>44601</v>
      </c>
      <c r="B77" s="99">
        <f>Hoja1!C76</f>
        <v>0.41666666666666702</v>
      </c>
      <c r="C77" s="91" t="str">
        <f>Hoja1!D76</f>
        <v>FATIMA MATICHE LAHCEN, KARIMA BAGDAD MOHAMED, LUISA HAMETE BENZAR Y SALHA AHMED MOHAMED</v>
      </c>
      <c r="D77" s="91" t="str">
        <f>SERGIO!G76</f>
        <v>FARID MOHAMED SAID</v>
      </c>
      <c r="E77" s="92" t="str">
        <f>Hoja1!E76</f>
        <v>OHL SERVICIOS INGESAN, S.A.</v>
      </c>
    </row>
    <row r="78" spans="1:5" x14ac:dyDescent="0.25">
      <c r="A78" s="98">
        <f>Hoja1!B77</f>
        <v>44601</v>
      </c>
      <c r="B78" s="99">
        <f>Hoja1!C77</f>
        <v>0.42013888888888901</v>
      </c>
      <c r="C78" s="91" t="str">
        <f>Hoja1!D77</f>
        <v>ABDELHUAHED AL LAL MOHAND</v>
      </c>
      <c r="D78" s="91" t="str">
        <f>SERGIO!G77</f>
        <v>FARID MOHAMED SAID</v>
      </c>
      <c r="E78" s="92" t="str">
        <f>Hoja1!E77</f>
        <v>VALORIZA SERVICIOS MEDIOAMBIENTALES</v>
      </c>
    </row>
    <row r="79" spans="1:5" x14ac:dyDescent="0.25">
      <c r="A79" s="98">
        <f>Hoja1!B78</f>
        <v>44601</v>
      </c>
      <c r="B79" s="99">
        <f>Hoja1!C78</f>
        <v>0.42361111111111099</v>
      </c>
      <c r="C79" s="91" t="str">
        <f>Hoja1!D78</f>
        <v>ABDESLAM ABDESLAM SAIDI</v>
      </c>
      <c r="D79" s="91" t="str">
        <f>SERGIO!G78</f>
        <v>FARID MOHAMED SAID</v>
      </c>
      <c r="E79" s="92" t="str">
        <f>Hoja1!E78</f>
        <v>VALORIZA SERVICIOS MEDIOAMBIENTALES</v>
      </c>
    </row>
    <row r="80" spans="1:5" x14ac:dyDescent="0.25">
      <c r="A80" s="98">
        <f>Hoja1!B79</f>
        <v>44601</v>
      </c>
      <c r="B80" s="99">
        <f>Hoja1!C79</f>
        <v>0.42708333333333298</v>
      </c>
      <c r="C80" s="91" t="str">
        <f>Hoja1!D79</f>
        <v>HAMZA SANHJI</v>
      </c>
      <c r="D80" s="91">
        <f>SERGIO!G79</f>
        <v>0</v>
      </c>
      <c r="E80" s="92" t="str">
        <f>Hoja1!E79</f>
        <v>VALORIZA SERVICIOS MEDIOAMBIENTALES</v>
      </c>
    </row>
    <row r="81" spans="1:5" x14ac:dyDescent="0.25">
      <c r="A81" s="98">
        <f>Hoja1!B80</f>
        <v>44601</v>
      </c>
      <c r="B81" s="99">
        <f>Hoja1!C80</f>
        <v>0.43055555555555602</v>
      </c>
      <c r="C81" s="91" t="str">
        <f>Hoja1!D80</f>
        <v>DUNIA HAMED BUMEDIEN</v>
      </c>
      <c r="D81" s="91" t="str">
        <f>SERGIO!G80</f>
        <v>FARID MOHAMED SAID</v>
      </c>
      <c r="E81" s="92" t="str">
        <f>Hoja1!E80</f>
        <v>VALORIZA SERVICIOS MEDIOAMBIENTALES</v>
      </c>
    </row>
    <row r="82" spans="1:5" x14ac:dyDescent="0.25">
      <c r="A82" s="98">
        <f>Hoja1!B81</f>
        <v>44601</v>
      </c>
      <c r="B82" s="99">
        <f>Hoja1!C81</f>
        <v>0.43402777777777801</v>
      </c>
      <c r="C82" s="91" t="str">
        <f>Hoja1!D81</f>
        <v>FAUZI AMARUCH MOHAMEDI</v>
      </c>
      <c r="D82" s="91" t="str">
        <f>SERGIO!G81</f>
        <v>JOAQUÍN GARCÍA ANGOSTO</v>
      </c>
      <c r="E82" s="92" t="str">
        <f>Hoja1!E81</f>
        <v>VALORIZA SERVICIOS MEDIOAMBIENTALES</v>
      </c>
    </row>
    <row r="83" spans="1:5" x14ac:dyDescent="0.25">
      <c r="A83" s="98">
        <f>Hoja1!B82</f>
        <v>44601</v>
      </c>
      <c r="B83" s="99">
        <f>Hoja1!C82</f>
        <v>0.4375</v>
      </c>
      <c r="C83" s="91" t="str">
        <f>Hoja1!D82</f>
        <v>ENRIQUE RIVAS VILLATORO</v>
      </c>
      <c r="D83" s="91">
        <f>SERGIO!G82</f>
        <v>0</v>
      </c>
      <c r="E83" s="92" t="str">
        <f>Hoja1!E82</f>
        <v>VALORIZA SERVICIOS MEDIOAMBIENTALES</v>
      </c>
    </row>
    <row r="84" spans="1:5" x14ac:dyDescent="0.25">
      <c r="A84" s="98">
        <f>Hoja1!B83</f>
        <v>44608</v>
      </c>
      <c r="B84" s="99">
        <f>Hoja1!C83</f>
        <v>0.39583333333333298</v>
      </c>
      <c r="C84" s="91" t="str">
        <f>Hoja1!D83</f>
        <v>HAMID ABDELKADER MOHAMED</v>
      </c>
      <c r="D84" s="91" t="str">
        <f>SERGIO!G83</f>
        <v>ALBERTO JOSÉ REQUENA POU</v>
      </c>
      <c r="E84" s="92" t="str">
        <f>Hoja1!E83</f>
        <v>INTBUILDER SEMA CONSTRUCCIÓN, S.L.</v>
      </c>
    </row>
    <row r="85" spans="1:5" x14ac:dyDescent="0.25">
      <c r="A85" s="98">
        <f>Hoja1!B84</f>
        <v>44608</v>
      </c>
      <c r="B85" s="99">
        <f>Hoja1!C84</f>
        <v>0.39930555555555602</v>
      </c>
      <c r="C85" s="91" t="str">
        <f>Hoja1!D84</f>
        <v>JOSÉ DAVID FERNÁNDEZ CORNEJO</v>
      </c>
      <c r="D85" s="91" t="str">
        <f>SERGIO!I84</f>
        <v>JOAQUÍN AZNAR GUERRA</v>
      </c>
      <c r="E85" s="92" t="str">
        <f>Hoja1!E84</f>
        <v>INTBUILDER SEMA CONSTRUCCIÓN, S.L.</v>
      </c>
    </row>
    <row r="86" spans="1:5" x14ac:dyDescent="0.25">
      <c r="A86" s="98">
        <f>Hoja1!B85</f>
        <v>44608</v>
      </c>
      <c r="B86" s="99">
        <f>Hoja1!C85</f>
        <v>0.40277777777777801</v>
      </c>
      <c r="C86" s="91" t="str">
        <f>Hoja1!D85</f>
        <v>EL MOSTAPHA BAHRI LAMKADDAM</v>
      </c>
      <c r="D86" s="91" t="str">
        <f>SERGIO!G85</f>
        <v>MARTA ALONSO SALGADO</v>
      </c>
      <c r="E86" s="92" t="str">
        <f>Hoja1!E85</f>
        <v>INTBUILDER SEMA CONSTRUCCIÓN, S.L.</v>
      </c>
    </row>
    <row r="87" spans="1:5" x14ac:dyDescent="0.25">
      <c r="A87" s="98">
        <f>Hoja1!B86</f>
        <v>44608</v>
      </c>
      <c r="B87" s="99">
        <f>Hoja1!C86</f>
        <v>0.40625</v>
      </c>
      <c r="C87" s="91" t="str">
        <f>Hoja1!D86</f>
        <v>ALI BOUALALA YAKHLEF</v>
      </c>
      <c r="D87" s="91" t="str">
        <f>SERGIO!G86</f>
        <v>MARTA ALONSO SALGADO</v>
      </c>
      <c r="E87" s="92" t="str">
        <f>Hoja1!E86</f>
        <v>DORANJO, S.L.U.</v>
      </c>
    </row>
    <row r="88" spans="1:5" x14ac:dyDescent="0.25">
      <c r="A88" s="98">
        <f>Hoja1!B87</f>
        <v>44608</v>
      </c>
      <c r="B88" s="99">
        <f>Hoja1!C87</f>
        <v>0.40972222222222199</v>
      </c>
      <c r="C88" s="91" t="str">
        <f>Hoja1!D87</f>
        <v>RACHIB EL AMMOURI</v>
      </c>
      <c r="D88" s="91" t="str">
        <f>SERGIO!G87</f>
        <v>JOSÉ LUIS LEÓN MARCOS</v>
      </c>
      <c r="E88" s="92" t="str">
        <f>Hoja1!E87</f>
        <v>GERCAR CONSTRUCCIONES Y REFORMAS</v>
      </c>
    </row>
    <row r="89" spans="1:5" x14ac:dyDescent="0.25">
      <c r="A89" s="98">
        <f>Hoja1!B88</f>
        <v>44608</v>
      </c>
      <c r="B89" s="99">
        <f>Hoja1!C88</f>
        <v>0.41319444444444398</v>
      </c>
      <c r="C89" s="91" t="str">
        <f>Hoja1!D88</f>
        <v>SAMIR AZDI AHMED</v>
      </c>
      <c r="D89" s="91" t="str">
        <f>SERGIO!G88</f>
        <v>JOSÉ LUIS LEÓN MARCOS</v>
      </c>
      <c r="E89" s="92" t="str">
        <f>Hoja1!E88</f>
        <v>MARIANO REMARTÍNEZ BUERA</v>
      </c>
    </row>
    <row r="90" spans="1:5" ht="23" x14ac:dyDescent="0.25">
      <c r="A90" s="98">
        <f>Hoja1!B89</f>
        <v>44615</v>
      </c>
      <c r="B90" s="99">
        <f>Hoja1!C89</f>
        <v>0.39583333333333298</v>
      </c>
      <c r="C90" s="91" t="str">
        <f>Hoja1!D89</f>
        <v>YAMILA MOHATAR MOH</v>
      </c>
      <c r="D90" s="91" t="str">
        <f>SERGIO!G89</f>
        <v>JOSÉ LUIS LEÓN MARCOS</v>
      </c>
      <c r="E90" s="92" t="str">
        <f>Hoja1!E89</f>
        <v>COMERCIAL ESPAÑOLA DE RECAMBIOS Y AUTOMÓVILES, S.A. Y CERAS, S.L.</v>
      </c>
    </row>
    <row r="91" spans="1:5" x14ac:dyDescent="0.25">
      <c r="A91" s="98">
        <f>Hoja1!B90</f>
        <v>44615</v>
      </c>
      <c r="B91" s="99">
        <f>Hoja1!C90</f>
        <v>0.39930555555555602</v>
      </c>
      <c r="C91" s="91" t="str">
        <f>Hoja1!D90</f>
        <v>USAMA EL KAYCHOUHI BENSIALI</v>
      </c>
      <c r="D91" s="91" t="str">
        <f>SERGIO!G90</f>
        <v>JOSÉ LUIS LEÓN MARCOS</v>
      </c>
      <c r="E91" s="92" t="str">
        <f>Hoja1!E90</f>
        <v>JM FONTANEROS MELILLA, S.L.</v>
      </c>
    </row>
    <row r="92" spans="1:5" ht="23" x14ac:dyDescent="0.25">
      <c r="A92" s="98">
        <f>Hoja1!B91</f>
        <v>44615</v>
      </c>
      <c r="B92" s="99">
        <f>Hoja1!C91</f>
        <v>0.40277777777777801</v>
      </c>
      <c r="C92" s="91" t="str">
        <f>Hoja1!D91</f>
        <v>MHAMED ZARIOUHI</v>
      </c>
      <c r="D92" s="91" t="str">
        <f>SERGIO!G91</f>
        <v>JOSÉ LUIS LEÓN MARCOS</v>
      </c>
      <c r="E92" s="92" t="str">
        <f>Hoja1!E91</f>
        <v>CANALIZACIONES Y CENTROS MELILLA, S.L. (CAYCEMEL)</v>
      </c>
    </row>
    <row r="93" spans="1:5" x14ac:dyDescent="0.25">
      <c r="A93" s="98">
        <f>Hoja1!B92</f>
        <v>44615</v>
      </c>
      <c r="B93" s="99">
        <f>Hoja1!C92</f>
        <v>0.40625</v>
      </c>
      <c r="C93" s="91" t="str">
        <f>Hoja1!D92</f>
        <v>SORAIDA MOHAMED FATMI</v>
      </c>
      <c r="D93" s="91" t="str">
        <f>SERGIO!G92</f>
        <v>JOSÉ LUIS LEÓN MARCOS</v>
      </c>
      <c r="E93" s="92" t="str">
        <f>Hoja1!E92</f>
        <v>RUSADIR MEDIA, S.L.</v>
      </c>
    </row>
    <row r="94" spans="1:5" x14ac:dyDescent="0.25">
      <c r="A94" s="98">
        <f>Hoja1!B93</f>
        <v>44615</v>
      </c>
      <c r="B94" s="99">
        <f>Hoja1!C93</f>
        <v>0.40972222222222199</v>
      </c>
      <c r="C94" s="91" t="str">
        <f>Hoja1!D93</f>
        <v>JOSÉ MARÍA MORALES MORENO</v>
      </c>
      <c r="D94" s="91" t="str">
        <f>SERGIO!G93</f>
        <v>JOSÉ LUIS LEÓN MARCOS</v>
      </c>
      <c r="E94" s="92" t="str">
        <f>Hoja1!E93</f>
        <v>SURESTE SEGURIDAD, S.L.</v>
      </c>
    </row>
    <row r="95" spans="1:5" x14ac:dyDescent="0.25">
      <c r="A95" s="98">
        <f>Hoja1!B94</f>
        <v>44615</v>
      </c>
      <c r="B95" s="99">
        <f>Hoja1!C94</f>
        <v>0.41319444444444398</v>
      </c>
      <c r="C95" s="91" t="str">
        <f>Hoja1!D94</f>
        <v>SOLEDAD MARTÍNEZ RODRÍGUEZ</v>
      </c>
      <c r="D95" s="91" t="str">
        <f>SERGIO!G94</f>
        <v>JOSÉ LUIS LEÓN MARCOS</v>
      </c>
      <c r="E95" s="92" t="str">
        <f>Hoja1!E94</f>
        <v>ABDESELAM MOHAMED MIMUN</v>
      </c>
    </row>
    <row r="96" spans="1:5" x14ac:dyDescent="0.25">
      <c r="A96" s="98">
        <f>Hoja1!B95</f>
        <v>44615</v>
      </c>
      <c r="B96" s="99">
        <f>Hoja1!C95</f>
        <v>0.41666666666666702</v>
      </c>
      <c r="C96" s="91" t="str">
        <f>Hoja1!D95</f>
        <v>MALIKA ZIZAOUI (DESISTIMIENTO)</v>
      </c>
      <c r="D96" s="91" t="str">
        <f>SERGIO!G95</f>
        <v>JOSÉ LUIS LEÓN MARCOS</v>
      </c>
      <c r="E96" s="92" t="str">
        <f>Hoja1!E95</f>
        <v>SUPERNOVA ASISTENCIAS, S.L.U. Y CLECE, S.A.</v>
      </c>
    </row>
    <row r="97" spans="1:5" x14ac:dyDescent="0.25">
      <c r="A97" s="98">
        <f>Hoja1!B96</f>
        <v>44615</v>
      </c>
      <c r="B97" s="99">
        <f>Hoja1!C96</f>
        <v>0.42013888888888901</v>
      </c>
      <c r="C97" s="91" t="str">
        <f>Hoja1!D96</f>
        <v>JUAN GÁLVEZ ROMERO</v>
      </c>
      <c r="D97" s="91" t="str">
        <f>SERGIO!G96</f>
        <v>JOSÉ LUIS LEÓN MARCOS</v>
      </c>
      <c r="E97" s="92" t="str">
        <f>Hoja1!E96</f>
        <v>SURESTE SEGURIDAD, S.L.</v>
      </c>
    </row>
    <row r="98" spans="1:5" ht="34.5" x14ac:dyDescent="0.25">
      <c r="A98" s="98">
        <f>Hoja1!B97</f>
        <v>44615</v>
      </c>
      <c r="B98" s="99">
        <f>Hoja1!C97</f>
        <v>0.42361111111111099</v>
      </c>
      <c r="C98" s="91" t="str">
        <f>Hoja1!D97</f>
        <v>YASIM BETANCORT EMBARK</v>
      </c>
      <c r="D98" s="91" t="str">
        <f>SERGIO!G97</f>
        <v>JOSÉ LUIS LEÓN MARCOS</v>
      </c>
      <c r="E98" s="92" t="str">
        <f>Hoja1!E97</f>
        <v>VALORIZA SERVICIOS MEDIOAMBIENTALES Y UTE URBASER, S.A. Y FOMENTO CONSTRUCCIONES Y CONTRATAS</v>
      </c>
    </row>
    <row r="99" spans="1:5" ht="34.5" x14ac:dyDescent="0.25">
      <c r="A99" s="98">
        <f>Hoja1!B98</f>
        <v>44615</v>
      </c>
      <c r="B99" s="99">
        <f>Hoja1!C98</f>
        <v>0.42708333333333298</v>
      </c>
      <c r="C99" s="91" t="str">
        <f>Hoja1!D98</f>
        <v>MILUD BENNASAR BELAID</v>
      </c>
      <c r="D99" s="91" t="str">
        <f>SERGIO!G98</f>
        <v>JOSÉ LUIS LEÓN MARCOS</v>
      </c>
      <c r="E99" s="92" t="str">
        <f>Hoja1!E98</f>
        <v>VALORIZA SERVICIOS MEDIOAMBIENTALES Y UTE URBASER, S.A. Y FOMENTO CONSTRUCCIONES Y CONTRATAS</v>
      </c>
    </row>
    <row r="100" spans="1:5" ht="34.5" x14ac:dyDescent="0.25">
      <c r="A100" s="98">
        <f>Hoja1!B99</f>
        <v>44615</v>
      </c>
      <c r="B100" s="99">
        <f>Hoja1!C99</f>
        <v>0.43055555555555602</v>
      </c>
      <c r="C100" s="91" t="str">
        <f>Hoja1!D99</f>
        <v>JOSUÉ FERNÁNDEZ SANTIAGO</v>
      </c>
      <c r="D100" s="91" t="str">
        <f>SERGIO!G99</f>
        <v>JOSÉ LUIS LEÓN MARCOS</v>
      </c>
      <c r="E100" s="92" t="str">
        <f>Hoja1!E99</f>
        <v>VALORIZA SERVICIOS MEDIOAMBIENTALES Y UTE URBASER, S.A. Y FOMENTO CONSTRUCCIONES Y CONTRATAS</v>
      </c>
    </row>
    <row r="101" spans="1:5" x14ac:dyDescent="0.25">
      <c r="A101" s="98">
        <f>Hoja1!B100</f>
        <v>44615</v>
      </c>
      <c r="B101" s="99">
        <f>Hoja1!C100</f>
        <v>0.43402777777777801</v>
      </c>
      <c r="C101" s="91" t="str">
        <f>Hoja1!D100</f>
        <v>LOUIZA LAHFA EL KAHLAOUI</v>
      </c>
      <c r="D101" s="91" t="str">
        <f>SERGIO!G100</f>
        <v>JOSÉ LUIS LEÓN MARCOS</v>
      </c>
      <c r="E101" s="92" t="str">
        <f>Hoja1!E100</f>
        <v>LA COMPAÑÍA MINAS DEL RIF, S.L.</v>
      </c>
    </row>
    <row r="102" spans="1:5" x14ac:dyDescent="0.25">
      <c r="A102" s="98">
        <f>Hoja1!B101</f>
        <v>44615</v>
      </c>
      <c r="B102" s="99">
        <f>Hoja1!C101</f>
        <v>0.4375</v>
      </c>
      <c r="C102" s="91" t="str">
        <f>Hoja1!D101</f>
        <v>MOHAMED ABDESLAM MOHAMED</v>
      </c>
      <c r="D102" s="91" t="str">
        <f>SERGIO!G101</f>
        <v>JOSÉ LUIS LEÓN MARCOS</v>
      </c>
      <c r="E102" s="92" t="str">
        <f>Hoja1!E101</f>
        <v>TYCO INTEGRATED</v>
      </c>
    </row>
    <row r="103" spans="1:5" x14ac:dyDescent="0.25">
      <c r="A103" s="98">
        <f>Hoja1!B102</f>
        <v>44615</v>
      </c>
      <c r="B103" s="99">
        <f>Hoja1!C102</f>
        <v>0.44097222222222199</v>
      </c>
      <c r="C103" s="91" t="str">
        <f>Hoja1!D102</f>
        <v>VERÓNICA TOVAR PÉREZ</v>
      </c>
      <c r="D103" s="91" t="str">
        <f>SERGIO!G102</f>
        <v>JOSÉ LUIS LEÓN MARCOS</v>
      </c>
      <c r="E103" s="92" t="str">
        <f>Hoja1!E102</f>
        <v>RENVERSE, S.L.</v>
      </c>
    </row>
    <row r="104" spans="1:5" x14ac:dyDescent="0.25">
      <c r="A104" s="98">
        <f>Hoja1!B103</f>
        <v>44622</v>
      </c>
      <c r="B104" s="99">
        <f>Hoja1!C103</f>
        <v>0.39583333333333298</v>
      </c>
      <c r="C104" s="91" t="str">
        <f>Hoja1!D103</f>
        <v>MOHAMED SEBTI EL AIACHI</v>
      </c>
      <c r="D104" s="91" t="str">
        <f>SERGIO!G103</f>
        <v>JOSÉ LUIS LEÓN MARCOS</v>
      </c>
      <c r="E104" s="92" t="str">
        <f>Hoja1!E103</f>
        <v>ARQUISOCIAL, S.L.</v>
      </c>
    </row>
    <row r="105" spans="1:5" x14ac:dyDescent="0.25">
      <c r="A105" s="98">
        <f>Hoja1!B104</f>
        <v>44610</v>
      </c>
      <c r="B105" s="99">
        <f>Hoja1!C104</f>
        <v>0.39583333333333298</v>
      </c>
      <c r="C105" s="91" t="str">
        <f>Hoja1!D104</f>
        <v>UGT MELILLA (DESISTIDO 17/02/2022)</v>
      </c>
      <c r="D105" s="91" t="str">
        <f>SERGIO!G104</f>
        <v>JOSÉ LUIS LEÓN MARCOS</v>
      </c>
      <c r="E105" s="92" t="str">
        <f>Hoja1!E104</f>
        <v>AMBULANCIAS TENORIO E HIJOS, S.L.</v>
      </c>
    </row>
    <row r="106" spans="1:5" x14ac:dyDescent="0.25">
      <c r="A106" s="98">
        <f>Hoja1!B105</f>
        <v>44622</v>
      </c>
      <c r="B106" s="99">
        <f>Hoja1!C105</f>
        <v>0.39930555555555602</v>
      </c>
      <c r="C106" s="91" t="str">
        <f>Hoja1!D105</f>
        <v>MOHAMED SEBTI EL AIACHI</v>
      </c>
      <c r="D106" s="91" t="str">
        <f>SERGIO!G105</f>
        <v>JOSÉ LUIS LEÓN MARCOS</v>
      </c>
      <c r="E106" s="92" t="str">
        <f>Hoja1!E105</f>
        <v>ARQUISOCIAL, S.L.</v>
      </c>
    </row>
    <row r="107" spans="1:5" x14ac:dyDescent="0.25">
      <c r="A107" s="98">
        <f>Hoja1!B106</f>
        <v>44622</v>
      </c>
      <c r="B107" s="99">
        <f>Hoja1!C106</f>
        <v>0.40277777777777801</v>
      </c>
      <c r="C107" s="91" t="str">
        <f>Hoja1!D106</f>
        <v>BORJA ARANA VEGA</v>
      </c>
      <c r="D107" s="91" t="str">
        <f>SERGIO!G106</f>
        <v>JOSÉ LUIS LEÓN MARCOS</v>
      </c>
      <c r="E107" s="92" t="str">
        <f>Hoja1!E106</f>
        <v>MANTENIMIENTOS TERRESTRES, S.L.</v>
      </c>
    </row>
    <row r="108" spans="1:5" x14ac:dyDescent="0.25">
      <c r="A108" s="98">
        <f>Hoja1!B107</f>
        <v>44622</v>
      </c>
      <c r="B108" s="99">
        <f>Hoja1!C107</f>
        <v>0.40625</v>
      </c>
      <c r="C108" s="91" t="str">
        <f>Hoja1!D107</f>
        <v>PEDRO ARANA COBREROS</v>
      </c>
      <c r="D108" s="91" t="str">
        <f>SERGIO!G107</f>
        <v>JOSÉ LUIS LEÓN MARCOS</v>
      </c>
      <c r="E108" s="92" t="str">
        <f>Hoja1!E107</f>
        <v>MANTENIMIENOS TERRESTRES, S.L.</v>
      </c>
    </row>
    <row r="109" spans="1:5" x14ac:dyDescent="0.25">
      <c r="A109" s="98">
        <f>Hoja1!B108</f>
        <v>44622</v>
      </c>
      <c r="B109" s="99">
        <f>Hoja1!C108</f>
        <v>0.40972222222222199</v>
      </c>
      <c r="C109" s="91" t="str">
        <f>Hoja1!D108</f>
        <v xml:space="preserve">DRISS ARRAISS </v>
      </c>
      <c r="D109" s="91" t="str">
        <f>SERGIO!G108</f>
        <v>JOSÉ LUIS LEÓN MARCOS</v>
      </c>
      <c r="E109" s="92" t="str">
        <f>Hoja1!E108</f>
        <v>MARÍA JESÚS MILLÁN CEREÑO Y JESÚS BATALLA POO</v>
      </c>
    </row>
    <row r="110" spans="1:5" x14ac:dyDescent="0.25">
      <c r="A110" s="98">
        <f>Hoja1!B109</f>
        <v>44622</v>
      </c>
      <c r="B110" s="99">
        <f>Hoja1!C109</f>
        <v>0.41319444444444398</v>
      </c>
      <c r="C110" s="91" t="str">
        <f>Hoja1!D109</f>
        <v>FARID AMAR MOHAMED</v>
      </c>
      <c r="D110" s="91" t="str">
        <f>SERGIO!G109</f>
        <v>JOSÉ LUIS LEÓN MARCOS</v>
      </c>
      <c r="E110" s="92" t="str">
        <f>Hoja1!E109</f>
        <v>VALORIZA SERVICIOS MEDIOAMBIENTALES, S.A.</v>
      </c>
    </row>
    <row r="111" spans="1:5" x14ac:dyDescent="0.25">
      <c r="A111" s="98">
        <f>Hoja1!B110</f>
        <v>44622</v>
      </c>
      <c r="B111" s="99">
        <f>Hoja1!C110</f>
        <v>0.41666666666666702</v>
      </c>
      <c r="C111" s="91" t="str">
        <f>Hoja1!D110</f>
        <v>ABDELKARIM TAOUIL</v>
      </c>
      <c r="D111" s="91" t="str">
        <f>SERGIO!G110</f>
        <v>JOSÉ LUIS LEÓN MARCOS</v>
      </c>
      <c r="E111" s="92" t="str">
        <f>Hoja1!E110</f>
        <v>VALORIZA SERVICIOS MEDIOAMBIENTALES</v>
      </c>
    </row>
    <row r="112" spans="1:5" x14ac:dyDescent="0.25">
      <c r="A112" s="98">
        <f>Hoja1!B111</f>
        <v>44622</v>
      </c>
      <c r="B112" s="99">
        <f>Hoja1!C111</f>
        <v>0.42013888888888901</v>
      </c>
      <c r="C112" s="91" t="str">
        <f>Hoja1!D111</f>
        <v>LOURDES GAONA GONZÁLEZ</v>
      </c>
      <c r="D112" s="91" t="str">
        <f>SERGIO!G111</f>
        <v>JOSÉ LUIS LEÓN MARCOS</v>
      </c>
      <c r="E112" s="92" t="str">
        <f>Hoja1!E111</f>
        <v>FUNDACIÓN DIAGRAMA INTERVENCIÓN PSICOSOCIAL</v>
      </c>
    </row>
    <row r="113" spans="1:5" x14ac:dyDescent="0.25">
      <c r="A113" s="98">
        <f>Hoja1!B112</f>
        <v>44622</v>
      </c>
      <c r="B113" s="99">
        <f>Hoja1!C112</f>
        <v>0.42361111111111099</v>
      </c>
      <c r="C113" s="91" t="str">
        <f>Hoja1!D112</f>
        <v>JUAN ANTONIO ALCÁZAR HERNÁNDEZ</v>
      </c>
      <c r="D113" s="91" t="str">
        <f>SERGIO!G112</f>
        <v>JOSÉ LUIS LEÓN MARCOS</v>
      </c>
      <c r="E113" s="92" t="str">
        <f>Hoja1!E112</f>
        <v>TRAGSA SA EMPRESA TRANSFORMACIÓN AGRARIA</v>
      </c>
    </row>
    <row r="114" spans="1:5" x14ac:dyDescent="0.25">
      <c r="A114" s="98">
        <f>Hoja1!B113</f>
        <v>44622</v>
      </c>
      <c r="B114" s="99">
        <f>Hoja1!C113</f>
        <v>0.42708333333333298</v>
      </c>
      <c r="C114" s="91" t="str">
        <f>Hoja1!D113</f>
        <v>MOHAMED EL BASRI</v>
      </c>
      <c r="D114" s="91" t="str">
        <f>SERGIO!G113</f>
        <v>JOSÉ LUIS LEÓN MARCOS</v>
      </c>
      <c r="E114" s="92" t="str">
        <f>Hoja1!E113</f>
        <v>HOSSAIN AL LAL MAHMUD (CAFETERÍA LA TOJA)</v>
      </c>
    </row>
    <row r="115" spans="1:5" x14ac:dyDescent="0.25">
      <c r="A115" s="98">
        <f>Hoja1!B114</f>
        <v>44629</v>
      </c>
      <c r="B115" s="99">
        <f>Hoja1!C114</f>
        <v>0.39583333333333298</v>
      </c>
      <c r="C115" s="91" t="str">
        <f>Hoja1!D114</f>
        <v>HADRIEL MEHAMED GONZÁLEZ</v>
      </c>
      <c r="D115" s="91" t="str">
        <f>SERGIO!G114</f>
        <v>JOSÉ LUIS LEÓN MARCOS</v>
      </c>
      <c r="E115" s="92" t="str">
        <f>Hoja1!E114</f>
        <v>SURESTE SEGURIDAD, S.L.</v>
      </c>
    </row>
    <row r="116" spans="1:5" x14ac:dyDescent="0.25">
      <c r="A116" s="98">
        <f>Hoja1!B115</f>
        <v>44629</v>
      </c>
      <c r="B116" s="99">
        <f>Hoja1!C115</f>
        <v>0.39930555555555602</v>
      </c>
      <c r="C116" s="91" t="str">
        <f>Hoja1!D115</f>
        <v>AZEINE BENAAMAR</v>
      </c>
      <c r="D116" s="91" t="str">
        <f>SERGIO!G115</f>
        <v>JOSÉ LUIS LEÓN MARCOS</v>
      </c>
      <c r="E116" s="92" t="str">
        <f>Hoja1!E115</f>
        <v>TUFIK MOHAMED MOHAMEDI</v>
      </c>
    </row>
    <row r="117" spans="1:5" x14ac:dyDescent="0.25">
      <c r="A117" s="98">
        <f>Hoja1!B116</f>
        <v>44629</v>
      </c>
      <c r="B117" s="99">
        <f>Hoja1!C116</f>
        <v>0.40277777777777801</v>
      </c>
      <c r="C117" s="91" t="str">
        <f>Hoja1!D116</f>
        <v>MOHAMED GJRIJOU LAKMARI</v>
      </c>
      <c r="D117" s="91" t="str">
        <f>SERGIO!G116</f>
        <v>JOSÉ LUIS LEÓN MARCOS</v>
      </c>
      <c r="E117" s="92" t="str">
        <f>Hoja1!E116</f>
        <v>VALORIZA SERVICIOS MEDIOAMBIENTALES, S.A.</v>
      </c>
    </row>
    <row r="118" spans="1:5" x14ac:dyDescent="0.25">
      <c r="A118" s="98">
        <f>Hoja1!B117</f>
        <v>44629</v>
      </c>
      <c r="B118" s="99">
        <f>Hoja1!C117</f>
        <v>0.40625</v>
      </c>
      <c r="C118" s="91" t="str">
        <f>Hoja1!D117</f>
        <v>JAMAL EL ALAMI</v>
      </c>
      <c r="D118" s="91" t="str">
        <f>SERGIO!G117</f>
        <v>JOAQUÍN GARCÍA ANGOSTO</v>
      </c>
      <c r="E118" s="92" t="str">
        <f>Hoja1!E117</f>
        <v>MOHAMED TOUTOUH EL ALAMI</v>
      </c>
    </row>
    <row r="119" spans="1:5" x14ac:dyDescent="0.25">
      <c r="A119" s="98">
        <f>Hoja1!B118</f>
        <v>44629</v>
      </c>
      <c r="B119" s="99">
        <f>Hoja1!C118</f>
        <v>0.40972222222222199</v>
      </c>
      <c r="C119" s="91" t="str">
        <f>Hoja1!D118</f>
        <v>EBRAHIM HAMED BENAISA</v>
      </c>
      <c r="D119" s="91" t="str">
        <f>SERGIO!G118</f>
        <v>VÍCTOR REYES DOMÍNGUEZ</v>
      </c>
      <c r="E119" s="92" t="str">
        <f>Hoja1!E118</f>
        <v>MULTIMOTOR AFRICA, S.L.</v>
      </c>
    </row>
    <row r="120" spans="1:5" x14ac:dyDescent="0.25">
      <c r="A120" s="98">
        <f>Hoja1!B119</f>
        <v>44629</v>
      </c>
      <c r="B120" s="99">
        <f>Hoja1!C119</f>
        <v>0.41319444444444398</v>
      </c>
      <c r="C120" s="91" t="str">
        <f>Hoja1!D119</f>
        <v>EBRAHIM HAMED BENAISA</v>
      </c>
      <c r="D120" s="91" t="str">
        <f>SERGIO!G119</f>
        <v>VÍCTOR REYES DOMÍNGUEZ</v>
      </c>
      <c r="E120" s="92" t="str">
        <f>Hoja1!E119</f>
        <v>MULTIMOTOR AFRICA, S.L.</v>
      </c>
    </row>
    <row r="121" spans="1:5" x14ac:dyDescent="0.25">
      <c r="A121" s="98">
        <f>Hoja1!B120</f>
        <v>44636</v>
      </c>
      <c r="B121" s="99">
        <f>Hoja1!C120</f>
        <v>0.39583333333333298</v>
      </c>
      <c r="C121" s="91" t="str">
        <f>Hoja1!D120</f>
        <v>MUSTAFA MOHAMEDI AL LAL</v>
      </c>
      <c r="D121" s="91" t="str">
        <f>SERGIO!G120</f>
        <v>VÍCTOR REYES DOMÍNGUEZ</v>
      </c>
      <c r="E121" s="92" t="str">
        <f>Hoja1!E120</f>
        <v>VALORIZA SERVICIOS MEDIOAMBIENTALES</v>
      </c>
    </row>
    <row r="122" spans="1:5" x14ac:dyDescent="0.25">
      <c r="A122" s="98">
        <f>Hoja1!B121</f>
        <v>44636</v>
      </c>
      <c r="B122" s="99">
        <f>Hoja1!C121</f>
        <v>0.39930555555555602</v>
      </c>
      <c r="C122" s="91" t="str">
        <f>Hoja1!D121</f>
        <v>MARÍA NIEVES CALVO EMBAREK</v>
      </c>
      <c r="D122" s="91" t="str">
        <f>SERGIO!G121</f>
        <v>VÍCTOR REYES DOMÍNGUEZ</v>
      </c>
      <c r="E122" s="92" t="str">
        <f>Hoja1!E121</f>
        <v>VALORIZA SERVICIOS MEDIOAMBIENTALES</v>
      </c>
    </row>
    <row r="123" spans="1:5" x14ac:dyDescent="0.25">
      <c r="A123" s="98">
        <f>Hoja1!B122</f>
        <v>44629</v>
      </c>
      <c r="B123" s="99">
        <f>Hoja1!C122</f>
        <v>0.41666666666666702</v>
      </c>
      <c r="C123" s="91" t="str">
        <f>Hoja1!D122</f>
        <v>MARÍA MORENCOS MORÁN</v>
      </c>
      <c r="D123" s="91" t="str">
        <f>SERGIO!G122</f>
        <v>VÍCTOR REYES DOMÍNGUEZ</v>
      </c>
      <c r="E123" s="92" t="str">
        <f>Hoja1!E122</f>
        <v>VALORIZA SERVICIOS MEDIOAMBIENTALES</v>
      </c>
    </row>
    <row r="124" spans="1:5" x14ac:dyDescent="0.25">
      <c r="A124" s="98">
        <f>Hoja1!B123</f>
        <v>44629</v>
      </c>
      <c r="B124" s="99">
        <f>Hoja1!C123</f>
        <v>0.42013888888888901</v>
      </c>
      <c r="C124" s="91" t="str">
        <f>Hoja1!D123</f>
        <v>ABIOLAH BACHIR  EL HARRAOUI</v>
      </c>
      <c r="D124" s="91" t="str">
        <f>SERGIO!G123</f>
        <v>VÍCTOR REYES DOMÍNGUEZ</v>
      </c>
      <c r="E124" s="92" t="str">
        <f>Hoja1!E123</f>
        <v>VALORIZA SERVICIOS MEDIOAMBIENTALES</v>
      </c>
    </row>
    <row r="125" spans="1:5" x14ac:dyDescent="0.25">
      <c r="A125" s="98">
        <f>Hoja1!B124</f>
        <v>44629</v>
      </c>
      <c r="B125" s="99">
        <f>Hoja1!C124</f>
        <v>0.42361111111111099</v>
      </c>
      <c r="C125" s="91" t="str">
        <f>Hoja1!D124</f>
        <v>MOHAMED MIMON ABDELLAH</v>
      </c>
      <c r="D125" s="91" t="str">
        <f>SERGIO!G124</f>
        <v>VÍCTOR REYES DOMÍNGUEZ</v>
      </c>
      <c r="E125" s="92" t="str">
        <f>Hoja1!E124</f>
        <v>VALORIZA SERVICIOS MEDIOAMBIENTALES</v>
      </c>
    </row>
    <row r="126" spans="1:5" x14ac:dyDescent="0.25">
      <c r="A126" s="98">
        <f>Hoja1!B125</f>
        <v>44629</v>
      </c>
      <c r="B126" s="99">
        <f>Hoja1!C125</f>
        <v>0.42708333333333298</v>
      </c>
      <c r="C126" s="91" t="str">
        <f>Hoja1!D125</f>
        <v>MOHAMED MIMON ABDELLAH</v>
      </c>
      <c r="D126" s="91" t="str">
        <f>SERGIO!G125</f>
        <v>JOAQUIN GARCIA ANGOSTO</v>
      </c>
      <c r="E126" s="92" t="str">
        <f>Hoja1!E125</f>
        <v>VALORIZA SERVICIOS MEDIOAMBIENTALES</v>
      </c>
    </row>
    <row r="127" spans="1:5" x14ac:dyDescent="0.25">
      <c r="A127" s="98">
        <f>Hoja1!B126</f>
        <v>44629</v>
      </c>
      <c r="B127" s="99">
        <f>Hoja1!C126</f>
        <v>0.43055555555555602</v>
      </c>
      <c r="C127" s="91" t="str">
        <f>Hoja1!D126</f>
        <v>ABIOLAH BACHIR EL HARROUI</v>
      </c>
      <c r="D127" s="91" t="str">
        <f>SERGIO!G126</f>
        <v xml:space="preserve">VICENTE MIGUEL AGUERA AGUILERA </v>
      </c>
      <c r="E127" s="92" t="str">
        <f>Hoja1!E126</f>
        <v>VALORIZA SERVICIOS MEDIOAMBIENTALES</v>
      </c>
    </row>
    <row r="128" spans="1:5" x14ac:dyDescent="0.25">
      <c r="A128" s="98">
        <f>Hoja1!B127</f>
        <v>44636</v>
      </c>
      <c r="B128" s="99">
        <f>Hoja1!C127</f>
        <v>0.40277777777777801</v>
      </c>
      <c r="C128" s="91" t="str">
        <f>Hoja1!D127</f>
        <v>HASSAN KASSEN AL LAL</v>
      </c>
      <c r="D128" s="91" t="str">
        <f>SERGIO!G127</f>
        <v>JOAQUÍN GARCÍA ANGOSTO</v>
      </c>
      <c r="E128" s="92" t="str">
        <f>Hoja1!E127</f>
        <v>VALORIZA SERVICIOS MEDIOAMBIENTALES</v>
      </c>
    </row>
    <row r="129" spans="1:5" x14ac:dyDescent="0.25">
      <c r="A129" s="98">
        <f>Hoja1!B128</f>
        <v>44636</v>
      </c>
      <c r="B129" s="99">
        <f>Hoja1!C128</f>
        <v>0.40625</v>
      </c>
      <c r="C129" s="91" t="str">
        <f>Hoja1!D128</f>
        <v>KARIM ABDESLAM MOHAND</v>
      </c>
      <c r="D129" s="91" t="str">
        <f>SERGIO!G128</f>
        <v>VÍCTOR REYES DOMÍNGUEZ</v>
      </c>
      <c r="E129" s="92" t="str">
        <f>Hoja1!E128</f>
        <v>AFLE, S.L.</v>
      </c>
    </row>
    <row r="130" spans="1:5" x14ac:dyDescent="0.25">
      <c r="A130" s="98">
        <f>Hoja1!B129</f>
        <v>44636</v>
      </c>
      <c r="B130" s="99">
        <f>Hoja1!C129</f>
        <v>0.40972222222222199</v>
      </c>
      <c r="C130" s="91" t="str">
        <f>Hoja1!D129</f>
        <v>KARIM ABDESLAM MOHAND</v>
      </c>
      <c r="D130" s="91" t="str">
        <f>SERGIO!G129</f>
        <v>VÍCTOR REYES DOMÍNGUEZ</v>
      </c>
      <c r="E130" s="92" t="str">
        <f>Hoja1!E129</f>
        <v>AFLE, S.L.</v>
      </c>
    </row>
    <row r="131" spans="1:5" x14ac:dyDescent="0.25">
      <c r="A131" s="98">
        <f>Hoja1!B130</f>
        <v>44636</v>
      </c>
      <c r="B131" s="99">
        <f>Hoja1!C130</f>
        <v>0.41319444444444398</v>
      </c>
      <c r="C131" s="91" t="str">
        <f>Hoja1!D130</f>
        <v>MILUD AL-LUCHS MUSTAFA</v>
      </c>
      <c r="D131" s="91">
        <f>SERGIO!G130</f>
        <v>0</v>
      </c>
      <c r="E131" s="92" t="str">
        <f>Hoja1!E130</f>
        <v>VALORIZA SERVICIOS MEDIOAMBIENTALES</v>
      </c>
    </row>
    <row r="132" spans="1:5" x14ac:dyDescent="0.25">
      <c r="A132" s="98">
        <f>Hoja1!B131</f>
        <v>44636</v>
      </c>
      <c r="B132" s="99">
        <f>Hoja1!C131</f>
        <v>0.41666666666666702</v>
      </c>
      <c r="C132" s="91" t="str">
        <f>Hoja1!D131</f>
        <v>MANUEL AMADOR JIMÉNEZ</v>
      </c>
      <c r="D132" s="91">
        <f>SERGIO!G131</f>
        <v>0</v>
      </c>
      <c r="E132" s="92" t="str">
        <f>Hoja1!E131</f>
        <v>ESTACIONES Y TERMINALES MARÍTIMAS, S.L.</v>
      </c>
    </row>
    <row r="133" spans="1:5" x14ac:dyDescent="0.25">
      <c r="A133" s="98">
        <f>Hoja1!B132</f>
        <v>44636</v>
      </c>
      <c r="B133" s="99">
        <f>Hoja1!C132</f>
        <v>0.42013888888888901</v>
      </c>
      <c r="C133" s="91" t="str">
        <f>Hoja1!D132</f>
        <v>NADIA GUTIÉRREZ KASEM</v>
      </c>
      <c r="D133" s="91" t="str">
        <f>SERGIO!G132</f>
        <v>ABDELMAYID SAID DRIS</v>
      </c>
      <c r="E133" s="92" t="str">
        <f>Hoja1!E132</f>
        <v>RENVERSE, S.L.</v>
      </c>
    </row>
    <row r="134" spans="1:5" x14ac:dyDescent="0.25">
      <c r="A134" s="98">
        <f>Hoja1!B133</f>
        <v>44636</v>
      </c>
      <c r="B134" s="99">
        <f>Hoja1!C133</f>
        <v>0.42361111111111099</v>
      </c>
      <c r="C134" s="91" t="str">
        <f>Hoja1!D133</f>
        <v>NISRIM ALLAL HAMED</v>
      </c>
      <c r="D134" s="91">
        <f>SERGIO!G133</f>
        <v>0</v>
      </c>
      <c r="E134" s="92" t="str">
        <f>Hoja1!E133</f>
        <v>FERRONOL SERVICIO INTEGRAL DE PRECISIÓN, S.L.</v>
      </c>
    </row>
    <row r="135" spans="1:5" x14ac:dyDescent="0.25">
      <c r="A135" s="98">
        <f>Hoja1!B134</f>
        <v>44636</v>
      </c>
      <c r="B135" s="99">
        <f>Hoja1!C134</f>
        <v>0.42708333333333298</v>
      </c>
      <c r="C135" s="91" t="str">
        <f>Hoja1!D134</f>
        <v>RACHID EL AMMOURI</v>
      </c>
      <c r="D135" s="91" t="str">
        <f>SERGIO!G134</f>
        <v>DAVID MARÍN SÁNCHEZ</v>
      </c>
      <c r="E135" s="92" t="str">
        <f>Hoja1!E134</f>
        <v>GERCAR CONSTRUCCIONES Y REFORMAS</v>
      </c>
    </row>
    <row r="136" spans="1:5" ht="23" x14ac:dyDescent="0.25">
      <c r="A136" s="98">
        <f>Hoja1!B135</f>
        <v>44636</v>
      </c>
      <c r="B136" s="99">
        <f>Hoja1!C135</f>
        <v>0.43055555555555602</v>
      </c>
      <c r="C136" s="91" t="str">
        <f>Hoja1!D135</f>
        <v>MUSTAPHA ABDELKADER LAARBI</v>
      </c>
      <c r="D136" s="91" t="str">
        <f>SERGIO!G135</f>
        <v>JOSÉ MARÍA IGNACIO SÁNCHEZ CHOLBI</v>
      </c>
      <c r="E136" s="92" t="str">
        <f>Hoja1!E135</f>
        <v>SERVICIOS ELÉCTRICOS Y AUDIOVISUALES MELILLA, S.L. (SEAMEL)</v>
      </c>
    </row>
    <row r="137" spans="1:5" x14ac:dyDescent="0.25">
      <c r="A137" s="98">
        <f>Hoja1!B136</f>
        <v>44643</v>
      </c>
      <c r="B137" s="99">
        <f>Hoja1!C136</f>
        <v>0.39583333333333298</v>
      </c>
      <c r="C137" s="91" t="str">
        <f>Hoja1!D136</f>
        <v>HAMID MHAMED BENNASER</v>
      </c>
      <c r="D137" s="91" t="str">
        <f>SERGIO!G136</f>
        <v>FARID MOHAMED SAID</v>
      </c>
      <c r="E137" s="92" t="str">
        <f>Hoja1!E136</f>
        <v>EULEN S.A.</v>
      </c>
    </row>
    <row r="138" spans="1:5" x14ac:dyDescent="0.25">
      <c r="A138" s="98">
        <f>Hoja1!B137</f>
        <v>44643</v>
      </c>
      <c r="B138" s="99">
        <f>Hoja1!C137</f>
        <v>0.39930555555555602</v>
      </c>
      <c r="C138" s="91" t="str">
        <f>Hoja1!D137</f>
        <v>MOHAMED MOHAMED ANAFI</v>
      </c>
      <c r="D138" s="91" t="str">
        <f>SERGIO!G137</f>
        <v>ABDELMAYID SAID DRIS</v>
      </c>
      <c r="E138" s="92" t="str">
        <f>Hoja1!E137</f>
        <v>EULEN S.A.</v>
      </c>
    </row>
    <row r="139" spans="1:5" x14ac:dyDescent="0.25">
      <c r="A139" s="98">
        <f>Hoja1!B138</f>
        <v>44643</v>
      </c>
      <c r="B139" s="99">
        <f>Hoja1!C138</f>
        <v>0.40277777777777801</v>
      </c>
      <c r="C139" s="91" t="str">
        <f>Hoja1!D138</f>
        <v>DRIS MOHAMED AHMED</v>
      </c>
      <c r="D139" s="91" t="str">
        <f>SERGIO!G138</f>
        <v>FARID MOHAMED SAID</v>
      </c>
      <c r="E139" s="92" t="str">
        <f>Hoja1!E138</f>
        <v>EULEN S.A.</v>
      </c>
    </row>
    <row r="140" spans="1:5" x14ac:dyDescent="0.25">
      <c r="A140" s="98">
        <f>Hoja1!B139</f>
        <v>44643</v>
      </c>
      <c r="B140" s="99">
        <f>Hoja1!C139</f>
        <v>0.40625</v>
      </c>
      <c r="C140" s="91" t="str">
        <f>Hoja1!D139</f>
        <v>WHASIMA MUSTAFA MUSTAFA</v>
      </c>
      <c r="D140" s="91" t="str">
        <f>SERGIO!G139</f>
        <v>DAVID MARÍN SÁNCHEZ</v>
      </c>
      <c r="E140" s="92" t="str">
        <f>Hoja1!E139</f>
        <v xml:space="preserve">TODOAGUAS SC </v>
      </c>
    </row>
    <row r="141" spans="1:5" x14ac:dyDescent="0.25">
      <c r="A141" s="98">
        <f>Hoja1!B140</f>
        <v>44643</v>
      </c>
      <c r="B141" s="99">
        <f>Hoja1!C140</f>
        <v>0.40972222222222199</v>
      </c>
      <c r="C141" s="91" t="str">
        <f>Hoja1!D140</f>
        <v>AHMED MOUMNI EL AMRATI</v>
      </c>
      <c r="D141" s="91" t="str">
        <f>SERGIO!G140</f>
        <v>ABDELMAYID SAID DRIS</v>
      </c>
      <c r="E141" s="92" t="str">
        <f>Hoja1!E140</f>
        <v xml:space="preserve">EULEN SA </v>
      </c>
    </row>
    <row r="142" spans="1:5" x14ac:dyDescent="0.25">
      <c r="A142" s="98">
        <f>Hoja1!B141</f>
        <v>44643</v>
      </c>
      <c r="B142" s="99">
        <f>Hoja1!C141</f>
        <v>0.41319444444444398</v>
      </c>
      <c r="C142" s="91" t="str">
        <f>Hoja1!D141</f>
        <v>CARMEN MARTINEZ VAZQUEZ</v>
      </c>
      <c r="D142" s="91" t="str">
        <f>SERGIO!G141</f>
        <v xml:space="preserve">VICENTE MIGUEL AGUERA AGUILERA </v>
      </c>
      <c r="E142" s="92" t="str">
        <f>Hoja1!E141</f>
        <v>FERRONOL SERVICIO INTEGRAL DE PRECISIÓN, S.L.</v>
      </c>
    </row>
    <row r="143" spans="1:5" x14ac:dyDescent="0.25">
      <c r="A143" s="98">
        <f>Hoja1!B142</f>
        <v>44643</v>
      </c>
      <c r="B143" s="99">
        <f>Hoja1!C142</f>
        <v>0.41666666666666702</v>
      </c>
      <c r="C143" s="91" t="str">
        <f>Hoja1!D142</f>
        <v>MOHAMED TAHIRI EL KALHAOUI</v>
      </c>
      <c r="D143" s="91">
        <f>SERGIO!G142</f>
        <v>0</v>
      </c>
      <c r="E143" s="92" t="str">
        <f>Hoja1!E142</f>
        <v>MELILLA PUERTO SA</v>
      </c>
    </row>
    <row r="144" spans="1:5" x14ac:dyDescent="0.25">
      <c r="A144" s="98">
        <f>Hoja1!B143</f>
        <v>44643</v>
      </c>
      <c r="B144" s="99">
        <f>Hoja1!C143</f>
        <v>0.42013888888888901</v>
      </c>
      <c r="C144" s="91" t="str">
        <f>Hoja1!D143</f>
        <v>MOHAMED TAHIRI EL KALHAOUI</v>
      </c>
      <c r="D144" s="91" t="str">
        <f>SERGIO!G143</f>
        <v>DAVID MARÍN SÁNCHEZ</v>
      </c>
      <c r="E144" s="92" t="str">
        <f>Hoja1!E143</f>
        <v>MELILLA PUERTO SA</v>
      </c>
    </row>
    <row r="145" spans="1:5" x14ac:dyDescent="0.25">
      <c r="A145" s="98">
        <f>Hoja1!B144</f>
        <v>44643</v>
      </c>
      <c r="B145" s="99">
        <f>Hoja1!C144</f>
        <v>0.42361111111111099</v>
      </c>
      <c r="C145" s="91" t="str">
        <f>Hoja1!D144</f>
        <v>MANUEL GONZALEZ LOPEZ</v>
      </c>
      <c r="D145" s="91" t="str">
        <f>SERGIO!G144</f>
        <v>JOAQUÍN PEDRERO CEBALLOS</v>
      </c>
      <c r="E145" s="92" t="str">
        <f>Hoja1!E144</f>
        <v>CARMELO MARTINEZ RODRIGUEZ</v>
      </c>
    </row>
    <row r="146" spans="1:5" ht="23" x14ac:dyDescent="0.25">
      <c r="A146" s="98">
        <f>Hoja1!B145</f>
        <v>44643</v>
      </c>
      <c r="B146" s="99">
        <f>Hoja1!C145</f>
        <v>0.42708333333333298</v>
      </c>
      <c r="C146" s="91" t="str">
        <f>Hoja1!D145</f>
        <v>JONATAN FERNÁNDEZ SANTIAGO</v>
      </c>
      <c r="D146" s="91" t="str">
        <f>SERGIO!G145</f>
        <v>JOAQUÍN GARCÍA ANGOSTO</v>
      </c>
      <c r="E146" s="92" t="str">
        <f>Hoja1!E145</f>
        <v>IGNACIA FERRERAS, S.A., JUAN IGNACIO RUBÍ FERRERAS Y ANA RUBÍ FERRERAS</v>
      </c>
    </row>
    <row r="147" spans="1:5" x14ac:dyDescent="0.25">
      <c r="A147" s="98">
        <f>Hoja1!B146</f>
        <v>44643</v>
      </c>
      <c r="B147" s="99">
        <f>Hoja1!C146</f>
        <v>0.43055555555555602</v>
      </c>
      <c r="C147" s="91" t="str">
        <f>Hoja1!D146</f>
        <v xml:space="preserve">DRISS ARRAISS </v>
      </c>
      <c r="D147" s="91" t="str">
        <f>SERGIO!G146</f>
        <v>JOAQUÍN GARCÍA ANGOSTO</v>
      </c>
      <c r="E147" s="92" t="str">
        <f>Hoja1!E146</f>
        <v>MARÍA JESÚS MILLÁN CEREÑO Y JESÚS BATALLA POO</v>
      </c>
    </row>
    <row r="148" spans="1:5" ht="23" x14ac:dyDescent="0.25">
      <c r="A148" s="98">
        <f>Hoja1!B147</f>
        <v>44643</v>
      </c>
      <c r="B148" s="99">
        <f>Hoja1!C147</f>
        <v>0.43402777777777801</v>
      </c>
      <c r="C148" s="91" t="str">
        <f>Hoja1!D147</f>
        <v>MANUEL JESUS PEREZ RAMOS</v>
      </c>
      <c r="D148" s="91" t="str">
        <f>SERGIO!G147</f>
        <v>JOAQUÍN GARCÍA ANGOSTO</v>
      </c>
      <c r="E148" s="92" t="str">
        <f>Hoja1!E147</f>
        <v>TRWES FORCAS DIGITAL SLU Y TRES FORCAS TELEVISION SL</v>
      </c>
    </row>
    <row r="149" spans="1:5" x14ac:dyDescent="0.25">
      <c r="A149" s="98">
        <f>Hoja1!B148</f>
        <v>44643</v>
      </c>
      <c r="B149" s="99">
        <f>Hoja1!C148</f>
        <v>0.4375</v>
      </c>
      <c r="C149" s="91" t="str">
        <f>Hoja1!D148</f>
        <v>MARÍA DEL CARMEN GONZÁLEZ BARRIUSO</v>
      </c>
      <c r="D149" s="91" t="str">
        <f>SERGIO!G148</f>
        <v>JOAQUÍN GARCÍA ANGOSTO</v>
      </c>
      <c r="E149" s="92" t="str">
        <f>Hoja1!E148</f>
        <v>MELILLA TUR, S.A.</v>
      </c>
    </row>
    <row r="150" spans="1:5" x14ac:dyDescent="0.25">
      <c r="A150" s="98">
        <f>Hoja1!B149</f>
        <v>44643</v>
      </c>
      <c r="B150" s="99">
        <f>Hoja1!C149</f>
        <v>0.44097222222222199</v>
      </c>
      <c r="C150" s="91" t="str">
        <f>Hoja1!D149</f>
        <v>ABDERRAHIM ATRARI BOUAJAJ</v>
      </c>
      <c r="D150" s="91" t="str">
        <f>SERGIO!G149</f>
        <v>FARID MOHAMED SAID</v>
      </c>
      <c r="E150" s="92" t="str">
        <f>Hoja1!E149</f>
        <v>VALORIZA SERVICIOS MEDIOAMBIENTALES</v>
      </c>
    </row>
    <row r="151" spans="1:5" x14ac:dyDescent="0.25">
      <c r="A151" s="98">
        <f>Hoja1!B150</f>
        <v>44643</v>
      </c>
      <c r="B151" s="99">
        <f>Hoja1!C150</f>
        <v>0.44444444444444398</v>
      </c>
      <c r="C151" s="91" t="str">
        <f>Hoja1!D150</f>
        <v>IBRAHIM EL BALI</v>
      </c>
      <c r="D151" s="91" t="str">
        <f>SERGIO!G150</f>
        <v>FARID MOHAMED SAID</v>
      </c>
      <c r="E151" s="92" t="str">
        <f>Hoja1!E150</f>
        <v>MOHAMED BOUHLASS</v>
      </c>
    </row>
    <row r="152" spans="1:5" x14ac:dyDescent="0.25">
      <c r="A152" s="98">
        <f>Hoja1!B151</f>
        <v>44643</v>
      </c>
      <c r="B152" s="99">
        <f>Hoja1!C151</f>
        <v>0.44791666666666702</v>
      </c>
      <c r="C152" s="91" t="str">
        <f>Hoja1!D151</f>
        <v xml:space="preserve">MALIKA ZIZAOUI </v>
      </c>
      <c r="D152" s="91">
        <f>SERGIO!G151</f>
        <v>0</v>
      </c>
      <c r="E152" s="92" t="str">
        <f>Hoja1!E151</f>
        <v>SUPERNOVA ASISTENCIAS, S.L.U. Y CLECE, S.A.</v>
      </c>
    </row>
    <row r="153" spans="1:5" x14ac:dyDescent="0.25">
      <c r="A153" s="98">
        <f>Hoja1!B152</f>
        <v>44643</v>
      </c>
      <c r="B153" s="99">
        <f>Hoja1!C152</f>
        <v>0.45138888888888901</v>
      </c>
      <c r="C153" s="91" t="str">
        <f>Hoja1!D152</f>
        <v>MIGUEL CASTRO HERNÁNDEZ</v>
      </c>
      <c r="D153" s="91">
        <f>SERGIO!G152</f>
        <v>0</v>
      </c>
      <c r="E153" s="92" t="str">
        <f>Hoja1!E152</f>
        <v>VALORIZA SERVICIOS MEDIOAMBIENTALES</v>
      </c>
    </row>
    <row r="154" spans="1:5" x14ac:dyDescent="0.25">
      <c r="A154" s="98">
        <f>Hoja1!B153</f>
        <v>44643</v>
      </c>
      <c r="B154" s="99">
        <f>Hoja1!C153</f>
        <v>0.45486111111111099</v>
      </c>
      <c r="C154" s="91" t="str">
        <f>Hoja1!D153</f>
        <v>RAFAEL FRANCISCO MÉDICIS GARRIDO</v>
      </c>
      <c r="D154" s="91" t="str">
        <f>SERGIO!G153</f>
        <v>GEMA FERRER RODRÍGUEZ</v>
      </c>
      <c r="E154" s="92" t="str">
        <f>Hoja1!E153</f>
        <v>VALORIZA SERVICIOS MEDIOAMBIENTALES</v>
      </c>
    </row>
    <row r="155" spans="1:5" x14ac:dyDescent="0.25">
      <c r="A155" s="98">
        <f>Hoja1!B154</f>
        <v>44643</v>
      </c>
      <c r="B155" s="99">
        <f>Hoja1!C154</f>
        <v>0.45833333333333298</v>
      </c>
      <c r="C155" s="91" t="str">
        <f>Hoja1!D154</f>
        <v>RAFAEL FRANCISCO MÉDICIS GARRIDO</v>
      </c>
      <c r="D155" s="91" t="str">
        <f>SERGIO!G154</f>
        <v>VICENTE MIGUEL AGÜERA AGUILERA</v>
      </c>
      <c r="E155" s="92" t="str">
        <f>Hoja1!E154</f>
        <v>VALORIZA SERVICIOS MEDIOAMBIENTALES</v>
      </c>
    </row>
    <row r="156" spans="1:5" x14ac:dyDescent="0.25">
      <c r="A156" s="98">
        <f>Hoja1!B155</f>
        <v>44643</v>
      </c>
      <c r="B156" s="99">
        <f>Hoja1!C155</f>
        <v>0.46180555555555602</v>
      </c>
      <c r="C156" s="91" t="str">
        <f>Hoja1!D155</f>
        <v>RAQUEL FERRÓN MORENO</v>
      </c>
      <c r="D156" s="91" t="str">
        <f>SERGIO!G155</f>
        <v>GEMA FERRER RODRÍGUEZ</v>
      </c>
      <c r="E156" s="92" t="str">
        <f>Hoja1!E155</f>
        <v>EULEN S.A.</v>
      </c>
    </row>
    <row r="157" spans="1:5" x14ac:dyDescent="0.25">
      <c r="A157" s="98">
        <f>Hoja1!B156</f>
        <v>44643</v>
      </c>
      <c r="B157" s="99">
        <f>Hoja1!C156</f>
        <v>0.46527777777777801</v>
      </c>
      <c r="C157" s="91" t="str">
        <f>Hoja1!D156</f>
        <v>MIGUEL CASTRO HERNÁNDEZ</v>
      </c>
      <c r="D157" s="91">
        <f>SERGIO!G156</f>
        <v>0</v>
      </c>
      <c r="E157" s="92" t="str">
        <f>Hoja1!E156</f>
        <v>VALORIZA SERVICIOS MEDIOAMBIENTALES</v>
      </c>
    </row>
    <row r="158" spans="1:5" x14ac:dyDescent="0.25">
      <c r="A158" s="98">
        <f>Hoja1!B157</f>
        <v>44643</v>
      </c>
      <c r="B158" s="99">
        <f>Hoja1!C157</f>
        <v>0.46875</v>
      </c>
      <c r="C158" s="91" t="str">
        <f>Hoja1!D157</f>
        <v>MOHAMED SEBTI EL AIACHI</v>
      </c>
      <c r="D158" s="91" t="str">
        <f>SERGIO!G157</f>
        <v>MARTA ALONSO SALGADO</v>
      </c>
      <c r="E158" s="92" t="str">
        <f>Hoja1!E157</f>
        <v>ARQUISOCIAL, S.L.</v>
      </c>
    </row>
    <row r="159" spans="1:5" x14ac:dyDescent="0.25">
      <c r="A159" s="98">
        <f>Hoja1!B158</f>
        <v>44643</v>
      </c>
      <c r="B159" s="99">
        <f>Hoja1!C158</f>
        <v>0.47222222222222199</v>
      </c>
      <c r="C159" s="91" t="str">
        <f>Hoja1!D158</f>
        <v>YOUSSEF EL HEJRI</v>
      </c>
      <c r="D159" s="91" t="str">
        <f>SERGIO!G158</f>
        <v>JOAQUÍN GARCÍA ANGOSTO</v>
      </c>
      <c r="E159" s="92" t="str">
        <f>Hoja1!E158</f>
        <v>AMAR ROTBI KARKOUR</v>
      </c>
    </row>
    <row r="160" spans="1:5" x14ac:dyDescent="0.25">
      <c r="A160" s="98">
        <f>Hoja1!B159</f>
        <v>44643</v>
      </c>
      <c r="B160" s="99">
        <f>Hoja1!C159</f>
        <v>0.47569444444444398</v>
      </c>
      <c r="C160" s="91" t="str">
        <f>Hoja1!D159</f>
        <v>JOAQUÍN MUÑOZ MARTÍN</v>
      </c>
      <c r="D160" s="91" t="str">
        <f>SERGIO!G159</f>
        <v>JOAQUÍN GARCÍA ANGOSTO</v>
      </c>
      <c r="E160" s="92" t="str">
        <f>Hoja1!E159</f>
        <v>VIGCAN SEGURIDAD, S.L.</v>
      </c>
    </row>
    <row r="161" spans="1:5" x14ac:dyDescent="0.25">
      <c r="A161" s="98">
        <f>Hoja1!B160</f>
        <v>44650</v>
      </c>
      <c r="B161" s="99">
        <f>Hoja1!C160</f>
        <v>0.39583333333333298</v>
      </c>
      <c r="C161" s="91" t="str">
        <f>Hoja1!D160</f>
        <v>SAID MOHAMED MOHAMED</v>
      </c>
      <c r="D161" s="91" t="str">
        <f>SERGIO!G160</f>
        <v>DAVID MARÍN SÁNCHEZ</v>
      </c>
      <c r="E161" s="92" t="str">
        <f>Hoja1!E160</f>
        <v>TARIK SBAAI EL MADANI</v>
      </c>
    </row>
    <row r="162" spans="1:5" ht="34.5" x14ac:dyDescent="0.25">
      <c r="A162" s="98">
        <f>Hoja1!B161</f>
        <v>44650</v>
      </c>
      <c r="B162" s="99">
        <f>Hoja1!C161</f>
        <v>0.39930555555555602</v>
      </c>
      <c r="C162" s="91" t="str">
        <f>Hoja1!D161</f>
        <v>MIMOUN EL FOUNTI ECHAMLALI</v>
      </c>
      <c r="D162" s="91" t="str">
        <f>SERGIO!G161</f>
        <v>DAVID MARÍN SÁNCHEZ</v>
      </c>
      <c r="E162" s="92" t="str">
        <f>Hoja1!E161</f>
        <v>VALORIZA SERVICIOS MEDIOAMBIENTALES Y UTE URBASER, S.A. Y FOMENTO CONSTRUCCIONES Y CONTRATAS</v>
      </c>
    </row>
    <row r="163" spans="1:5" x14ac:dyDescent="0.25">
      <c r="A163" s="98">
        <f>Hoja1!B162</f>
        <v>44650</v>
      </c>
      <c r="B163" s="99">
        <f>Hoja1!C162</f>
        <v>0.40277777777777801</v>
      </c>
      <c r="C163" s="91" t="str">
        <f>Hoja1!D162</f>
        <v>MIMUNT MOHAND ABDELLAH</v>
      </c>
      <c r="D163" s="91" t="str">
        <f>SERGIO!G162</f>
        <v>JOAQUÍN PEDRERO CEBALLOS</v>
      </c>
      <c r="E163" s="92" t="str">
        <f>Hoja1!E162</f>
        <v>JUAN MANUEL ROSSO MARTÍNEZ</v>
      </c>
    </row>
    <row r="164" spans="1:5" x14ac:dyDescent="0.25">
      <c r="A164" s="98">
        <f>Hoja1!B163</f>
        <v>44650</v>
      </c>
      <c r="B164" s="99">
        <f>Hoja1!C163</f>
        <v>0.40625</v>
      </c>
      <c r="C164" s="91" t="str">
        <f>Hoja1!D163</f>
        <v>EDUARDO ORTEGA ABRIL</v>
      </c>
      <c r="D164" s="91" t="str">
        <f>SERGIO!G163</f>
        <v>ENRIQUE ALCOBA VIZCAÍNO</v>
      </c>
      <c r="E164" s="92" t="str">
        <f>Hoja1!E163</f>
        <v>SURESTE SEGURIDAD, S.L.</v>
      </c>
    </row>
    <row r="165" spans="1:5" x14ac:dyDescent="0.25">
      <c r="A165" s="98">
        <f>Hoja1!B164</f>
        <v>44650</v>
      </c>
      <c r="B165" s="99">
        <f>Hoja1!C164</f>
        <v>0.40972222222222199</v>
      </c>
      <c r="C165" s="91" t="str">
        <f>Hoja1!D164</f>
        <v>NAVIL AL LAL LAHADIL</v>
      </c>
      <c r="D165" s="91" t="str">
        <f>SERGIO!G164</f>
        <v>ENRIQUE ALCOBA VIZCAÍNO</v>
      </c>
      <c r="E165" s="92" t="str">
        <f>Hoja1!E164</f>
        <v>SURESTE SEGURIDAD, S.L.</v>
      </c>
    </row>
    <row r="166" spans="1:5" x14ac:dyDescent="0.25">
      <c r="A166" s="98">
        <f>Hoja1!B165</f>
        <v>44650</v>
      </c>
      <c r="B166" s="99">
        <f>Hoja1!C165</f>
        <v>0.41319444444444398</v>
      </c>
      <c r="C166" s="91" t="str">
        <f>Hoja1!D165</f>
        <v>JUAN CARLOS FERNÁNDEZ MORALES</v>
      </c>
      <c r="D166" s="91" t="str">
        <f>SERGIO!G165</f>
        <v>GEMA FERRER RODRÍGUEZ</v>
      </c>
      <c r="E166" s="92" t="str">
        <f>Hoja1!E165</f>
        <v>SURESTE SEGURIDAD S.L.</v>
      </c>
    </row>
    <row r="167" spans="1:5" x14ac:dyDescent="0.25">
      <c r="A167" s="98">
        <f>Hoja1!B166</f>
        <v>44650</v>
      </c>
      <c r="B167" s="99">
        <f>Hoja1!C166</f>
        <v>0.41666666666666702</v>
      </c>
      <c r="C167" s="91" t="str">
        <f>Hoja1!D166</f>
        <v>MIGUEL ÁNGEL BONILLO VIUDEZ</v>
      </c>
      <c r="D167" s="91" t="str">
        <f>SERGIO!G166</f>
        <v>JOAQUÍN GARCÍA ANGOSTO</v>
      </c>
      <c r="E167" s="92" t="str">
        <f>Hoja1!E166</f>
        <v>SURESTE SEGURIDAD S.L.</v>
      </c>
    </row>
    <row r="168" spans="1:5" x14ac:dyDescent="0.25">
      <c r="A168" s="98">
        <f>Hoja1!B167</f>
        <v>44650</v>
      </c>
      <c r="B168" s="99">
        <f>Hoja1!C167</f>
        <v>0.42013888888888901</v>
      </c>
      <c r="C168" s="91" t="str">
        <f>Hoja1!D167</f>
        <v>NORDIN MIZZIAN BOUARFA</v>
      </c>
      <c r="D168" s="91" t="str">
        <f>SERGIO!G167</f>
        <v>JOAQUÍN GARCÍA ANGOSTO</v>
      </c>
      <c r="E168" s="92" t="str">
        <f>Hoja1!E167</f>
        <v>SURESTE SEGURIDAD S.L.</v>
      </c>
    </row>
    <row r="169" spans="1:5" x14ac:dyDescent="0.25">
      <c r="A169" s="98">
        <f>Hoja1!B168</f>
        <v>44650</v>
      </c>
      <c r="B169" s="99">
        <f>Hoja1!C168</f>
        <v>0.42361111111111099</v>
      </c>
      <c r="C169" s="91" t="str">
        <f>Hoja1!D168</f>
        <v>JOSÉ MANUEL ÁLVAREZ GRANADOS</v>
      </c>
      <c r="D169" s="91" t="str">
        <f>SERGIO!G168</f>
        <v>ABDELMAYID SAID DRIS</v>
      </c>
      <c r="E169" s="92" t="str">
        <f>Hoja1!E168</f>
        <v>SURESTE SEGURIDAD, S.L.</v>
      </c>
    </row>
    <row r="170" spans="1:5" x14ac:dyDescent="0.25">
      <c r="A170" s="98">
        <f>Hoja1!B169</f>
        <v>44650</v>
      </c>
      <c r="B170" s="99">
        <f>Hoja1!C169</f>
        <v>0.42708333333333298</v>
      </c>
      <c r="C170" s="91" t="str">
        <f>Hoja1!D169</f>
        <v>FRANCISCO JOSÉ AGUILERA FERNÁNDEZ</v>
      </c>
      <c r="D170" s="91" t="str">
        <f>SERGIO!G169</f>
        <v>ABDELMAYID SAID DRIS</v>
      </c>
      <c r="E170" s="92" t="str">
        <f>Hoja1!E169</f>
        <v>SURESTE SEGURIDAD, S.L.</v>
      </c>
    </row>
    <row r="171" spans="1:5" x14ac:dyDescent="0.25">
      <c r="A171" s="98">
        <f>Hoja1!B170</f>
        <v>44650</v>
      </c>
      <c r="B171" s="99">
        <f>Hoja1!C170</f>
        <v>0.43055555555555602</v>
      </c>
      <c r="C171" s="91" t="str">
        <f>Hoja1!D170</f>
        <v>MARÍA CONSOLACIÓN VILLANOVA FAUS</v>
      </c>
      <c r="D171" s="91" t="str">
        <f>SERGIO!G170</f>
        <v>JOAQUÍN GARCÍA ANGOSTO</v>
      </c>
      <c r="E171" s="92" t="str">
        <f>Hoja1!E170</f>
        <v>SURESTE SEGURIDAD, S.L.</v>
      </c>
    </row>
    <row r="172" spans="1:5" x14ac:dyDescent="0.25">
      <c r="A172" s="98">
        <f>Hoja1!B171</f>
        <v>44650</v>
      </c>
      <c r="B172" s="99">
        <f>Hoja1!C171</f>
        <v>0.43402777777777801</v>
      </c>
      <c r="C172" s="91" t="str">
        <f>Hoja1!D171</f>
        <v>SAMIRA EL MAYDOUBI</v>
      </c>
      <c r="D172" s="91" t="str">
        <f>SERGIO!G171</f>
        <v>JOSÉ MARÍA IGNACIO SÁNCHEZ CHOLBI</v>
      </c>
      <c r="E172" s="92" t="str">
        <f>Hoja1!E171</f>
        <v>SURESTE SEGURIDAD S.L.</v>
      </c>
    </row>
    <row r="173" spans="1:5" x14ac:dyDescent="0.25">
      <c r="A173" s="98">
        <f>Hoja1!B172</f>
        <v>44650</v>
      </c>
      <c r="B173" s="99">
        <f>Hoja1!C172</f>
        <v>0.4375</v>
      </c>
      <c r="C173" s="91" t="str">
        <f>Hoja1!D172</f>
        <v>FADUA MOHAMED FAHIM</v>
      </c>
      <c r="D173" s="91" t="str">
        <f>SERGIO!G203</f>
        <v>JOAQUÍN GARCÍA ANGOSTO</v>
      </c>
      <c r="E173" s="92" t="str">
        <f>Hoja1!E172</f>
        <v>TAX FREE EUROPA, S.L.</v>
      </c>
    </row>
    <row r="174" spans="1:5" x14ac:dyDescent="0.25">
      <c r="A174" s="98">
        <f>Hoja1!B173</f>
        <v>44650</v>
      </c>
      <c r="B174" s="99">
        <f>Hoja1!C173</f>
        <v>0.44097222222222199</v>
      </c>
      <c r="C174" s="91" t="str">
        <f>Hoja1!D173</f>
        <v>JOSÉ FRANCISCO DOMENECH ROLDÁN</v>
      </c>
      <c r="D174" s="91" t="str">
        <f>SERGIO!G173</f>
        <v>MANUEL EMILIO GÓMEZ FERNÁNDEZ</v>
      </c>
      <c r="E174" s="92" t="str">
        <f>Hoja1!E173</f>
        <v>KADEM EZACRITI HAMEDI</v>
      </c>
    </row>
    <row r="175" spans="1:5" x14ac:dyDescent="0.25">
      <c r="A175" s="98">
        <f>Hoja1!B174</f>
        <v>44650</v>
      </c>
      <c r="B175" s="99">
        <f>Hoja1!C174</f>
        <v>0.44444444444444398</v>
      </c>
      <c r="C175" s="91" t="str">
        <f>Hoja1!D174</f>
        <v>MANUEL PERDIGONÉS DOMÍNGUEZ</v>
      </c>
      <c r="D175" s="91" t="str">
        <f>SERGIO!G174</f>
        <v>VICENTE MIGUEL AGÜERA AGUILERA</v>
      </c>
      <c r="E175" s="92" t="str">
        <f>Hoja1!E174</f>
        <v>MELILLA FUNZIONA, S.L.</v>
      </c>
    </row>
    <row r="176" spans="1:5" x14ac:dyDescent="0.25">
      <c r="A176" s="98">
        <f>Hoja1!B175</f>
        <v>44650</v>
      </c>
      <c r="B176" s="99">
        <f>Hoja1!C175</f>
        <v>0.44791666666666702</v>
      </c>
      <c r="C176" s="91" t="str">
        <f>Hoja1!D175</f>
        <v>JOSÉ ANTONIO ARROYO BAUTISTA</v>
      </c>
      <c r="D176" s="91" t="str">
        <f>SERGIO!G175</f>
        <v>DAVID MARÍN SÁNCHEZ</v>
      </c>
      <c r="E176" s="92" t="str">
        <f>Hoja1!E175</f>
        <v>SURESTE SEGURIDAD, S.L.</v>
      </c>
    </row>
    <row r="177" spans="1:5" x14ac:dyDescent="0.25">
      <c r="A177" s="98">
        <f>Hoja1!B176</f>
        <v>44650</v>
      </c>
      <c r="B177" s="99">
        <f>Hoja1!C176</f>
        <v>0.45138888888888901</v>
      </c>
      <c r="C177" s="91" t="str">
        <f>Hoja1!D176</f>
        <v>JUAN JESÚS PASCUAL SÁNCHEZ</v>
      </c>
      <c r="D177" s="91">
        <f>SERGIO!G176</f>
        <v>0</v>
      </c>
      <c r="E177" s="92" t="str">
        <f>Hoja1!E176</f>
        <v>SURESTE SEGURIDAD, S.L.</v>
      </c>
    </row>
    <row r="178" spans="1:5" x14ac:dyDescent="0.25">
      <c r="A178" s="98">
        <f>Hoja1!B177</f>
        <v>44650</v>
      </c>
      <c r="B178" s="99">
        <f>Hoja1!C177</f>
        <v>0.45486111111111099</v>
      </c>
      <c r="C178" s="91" t="str">
        <f>Hoja1!D177</f>
        <v>YASSIN YAKHLEF OUBALI</v>
      </c>
      <c r="D178" s="91" t="str">
        <f>SERGIO!G177</f>
        <v>JOAQUÍN GARCÍA ANGOSTO</v>
      </c>
      <c r="E178" s="92" t="str">
        <f>Hoja1!E177</f>
        <v>JUAN RAMÓN MONTENEGRO RODRÍGUEZ</v>
      </c>
    </row>
    <row r="179" spans="1:5" x14ac:dyDescent="0.25">
      <c r="A179" s="98">
        <f>Hoja1!B178</f>
        <v>44650</v>
      </c>
      <c r="B179" s="99">
        <f>Hoja1!C178</f>
        <v>0.45833333333333298</v>
      </c>
      <c r="C179" s="91" t="str">
        <f>Hoja1!D178</f>
        <v>OMAR BOURAS</v>
      </c>
      <c r="D179" s="91" t="str">
        <f>SERGIO!G178</f>
        <v>MARTA ALONSO SALGADO</v>
      </c>
      <c r="E179" s="92" t="str">
        <f>Hoja1!E178</f>
        <v>BENAISA E HIJOS, S.L.</v>
      </c>
    </row>
    <row r="180" spans="1:5" x14ac:dyDescent="0.25">
      <c r="A180" s="98">
        <f>Hoja1!B179</f>
        <v>44650</v>
      </c>
      <c r="B180" s="99">
        <f>Hoja1!C179</f>
        <v>0.46180555555555602</v>
      </c>
      <c r="C180" s="91" t="str">
        <f>Hoja1!D179</f>
        <v>SUFIAN MOHAMED FATMI</v>
      </c>
      <c r="D180" s="91" t="str">
        <f>SERGIO!G179</f>
        <v>JOUSEFF TORRES OLORIZ MOHAMED</v>
      </c>
      <c r="E180" s="92" t="str">
        <f>Hoja1!E179</f>
        <v>DORANJO, S.L.U.</v>
      </c>
    </row>
    <row r="181" spans="1:5" x14ac:dyDescent="0.25">
      <c r="A181" s="98">
        <f>Hoja1!B180</f>
        <v>44650</v>
      </c>
      <c r="B181" s="99">
        <f>Hoja1!C180</f>
        <v>0.46527777777777801</v>
      </c>
      <c r="C181" s="91" t="str">
        <f>Hoja1!D180</f>
        <v>SOLIMAN HAMED EMBARK</v>
      </c>
      <c r="D181" s="91">
        <f>SERGIO!G180</f>
        <v>0</v>
      </c>
      <c r="E181" s="92" t="str">
        <f>Hoja1!E180</f>
        <v>EULEN SEGURIDAD, S.A.</v>
      </c>
    </row>
    <row r="182" spans="1:5" x14ac:dyDescent="0.25">
      <c r="A182" s="98">
        <f>Hoja1!B181</f>
        <v>44650</v>
      </c>
      <c r="B182" s="99">
        <f>Hoja1!C181</f>
        <v>0.46875</v>
      </c>
      <c r="C182" s="91" t="str">
        <f>Hoja1!D181</f>
        <v>JUAN ANTONIO ALCÁZAR HERNÁNDEZ</v>
      </c>
      <c r="D182" s="91" t="str">
        <f>SERGIO!G181</f>
        <v>FARID MOHAMED SAID</v>
      </c>
      <c r="E182" s="92" t="str">
        <f>Hoja1!E181</f>
        <v>TRAGSA SA EMPRESA TRANSFORMACIÓN AGRARIA</v>
      </c>
    </row>
    <row r="183" spans="1:5" ht="23" x14ac:dyDescent="0.25">
      <c r="A183" s="98">
        <f>Hoja1!B182</f>
        <v>44657</v>
      </c>
      <c r="B183" s="99">
        <f>Hoja1!C182</f>
        <v>0.39583333333333298</v>
      </c>
      <c r="C183" s="91" t="str">
        <f>Hoja1!D182</f>
        <v>SANDRA CARMONA SORROCHE</v>
      </c>
      <c r="D183" s="91" t="str">
        <f>SERGIO!G182</f>
        <v>DOLORES MARÍA LÓPEZ GUARDIA</v>
      </c>
      <c r="E183" s="92" t="str">
        <f>Hoja1!E182</f>
        <v>GONZAPA MELILLA, S.L. Y JUAN ANTONIO ARMADA VILLALTA</v>
      </c>
    </row>
    <row r="184" spans="1:5" x14ac:dyDescent="0.25">
      <c r="A184" s="98">
        <f>Hoja1!B183</f>
        <v>44650</v>
      </c>
      <c r="B184" s="99">
        <f>Hoja1!C183</f>
        <v>0.47222222222222199</v>
      </c>
      <c r="C184" s="91" t="str">
        <f>Hoja1!D183</f>
        <v>BILAL MUSTAFA ABDESLAM</v>
      </c>
      <c r="D184" s="91" t="str">
        <f>SERGIO!G183</f>
        <v>SALOMON SERFATY BITTAN</v>
      </c>
      <c r="E184" s="92" t="str">
        <f>Hoja1!E183</f>
        <v>EULEN, S.A.</v>
      </c>
    </row>
    <row r="185" spans="1:5" x14ac:dyDescent="0.25">
      <c r="A185" s="98">
        <f>Hoja1!B184</f>
        <v>44657</v>
      </c>
      <c r="B185" s="99">
        <f>Hoja1!C184</f>
        <v>0.39930555555555602</v>
      </c>
      <c r="C185" s="91" t="str">
        <f>Hoja1!D184</f>
        <v>MÓNICA MARTÍNEZ GARCÍA</v>
      </c>
      <c r="D185" s="91" t="str">
        <f>SERGIO!G184</f>
        <v>SALOMON SERFATY BITTAN</v>
      </c>
      <c r="E185" s="92" t="str">
        <f>Hoja1!E184</f>
        <v>RENVERSE, S.L.</v>
      </c>
    </row>
    <row r="186" spans="1:5" x14ac:dyDescent="0.25">
      <c r="A186" s="98">
        <f>Hoja1!B185</f>
        <v>44657</v>
      </c>
      <c r="B186" s="99">
        <f>Hoja1!C185</f>
        <v>0.40277777777777801</v>
      </c>
      <c r="C186" s="91" t="str">
        <f>Hoja1!D185</f>
        <v>HASSAN EMBARK ABDELLAH</v>
      </c>
      <c r="D186" s="91" t="str">
        <f>SERGIO!G185</f>
        <v>SALOMON SERFATY BITTAN</v>
      </c>
      <c r="E186" s="92" t="str">
        <f>Hoja1!E185</f>
        <v>DORANJO, S.L.U.</v>
      </c>
    </row>
    <row r="187" spans="1:5" x14ac:dyDescent="0.25">
      <c r="A187" s="98">
        <f>Hoja1!B186</f>
        <v>44657</v>
      </c>
      <c r="B187" s="99">
        <f>Hoja1!C186</f>
        <v>0.40625</v>
      </c>
      <c r="C187" s="91" t="str">
        <f>Hoja1!D186</f>
        <v>SALVADOR TÉLLEZ CABEZA</v>
      </c>
      <c r="D187" s="91" t="str">
        <f>SERGIO!G186</f>
        <v>JOSÉ MARÍA IGNACIO SÁNCHEZ CHOLBI</v>
      </c>
      <c r="E187" s="92" t="str">
        <f>Hoja1!E186</f>
        <v>CABO EXPRESS, S.L.</v>
      </c>
    </row>
    <row r="188" spans="1:5" x14ac:dyDescent="0.25">
      <c r="A188" s="98">
        <f>Hoja1!B187</f>
        <v>44657</v>
      </c>
      <c r="B188" s="99">
        <f>Hoja1!C187</f>
        <v>0.40972222222222199</v>
      </c>
      <c r="C188" s="91" t="str">
        <f>Hoja1!D187</f>
        <v>EDUARDO ANTONIO ORTEGA ABRIL</v>
      </c>
      <c r="D188" s="91" t="str">
        <f>SERGIO!G187</f>
        <v>JOSÉ MARÍA IGNACIO SÁNCHEZ CHOLBI</v>
      </c>
      <c r="E188" s="92" t="str">
        <f>Hoja1!E187</f>
        <v>SURESTE SEGURIDAD S.L.</v>
      </c>
    </row>
    <row r="189" spans="1:5" x14ac:dyDescent="0.25">
      <c r="A189" s="98">
        <f>Hoja1!B188</f>
        <v>44657</v>
      </c>
      <c r="B189" s="99">
        <f>Hoja1!C188</f>
        <v>0.41319444444444398</v>
      </c>
      <c r="C189" s="91" t="str">
        <f>Hoja1!D188</f>
        <v>NEBIL HAMED GRANDE</v>
      </c>
      <c r="D189" s="91" t="str">
        <f>SERGIO!G188</f>
        <v>JOAQUÍN GARCÍA ANGOSTO</v>
      </c>
      <c r="E189" s="92" t="str">
        <f>Hoja1!E188</f>
        <v>SURESTE SEGURIDAD, S.L.</v>
      </c>
    </row>
    <row r="190" spans="1:5" x14ac:dyDescent="0.25">
      <c r="A190" s="98">
        <f>Hoja1!B189</f>
        <v>44657</v>
      </c>
      <c r="B190" s="99">
        <f>Hoja1!C189</f>
        <v>0.41666666666666702</v>
      </c>
      <c r="C190" s="91" t="str">
        <f>Hoja1!D189</f>
        <v>JOSÉ MARÍA RIZO GARCÍA TALAVERA</v>
      </c>
      <c r="D190" s="91" t="str">
        <f>SERGIO!G189</f>
        <v>DAVID MARÍN SÁNCHEZ</v>
      </c>
      <c r="E190" s="92" t="str">
        <f>Hoja1!E189</f>
        <v>SURESTE SEGURIDAD S.L.</v>
      </c>
    </row>
    <row r="191" spans="1:5" x14ac:dyDescent="0.25">
      <c r="A191" s="98">
        <f>Hoja1!B190</f>
        <v>44657</v>
      </c>
      <c r="B191" s="99">
        <f>Hoja1!C190</f>
        <v>0.42013888888888901</v>
      </c>
      <c r="C191" s="91" t="str">
        <f>Hoja1!D190</f>
        <v>NURIA MOYA BUMEDIEN</v>
      </c>
      <c r="D191" s="91">
        <f>SERGIO!G190</f>
        <v>0</v>
      </c>
      <c r="E191" s="92" t="str">
        <f>Hoja1!E190</f>
        <v>BURGER KING SPAIN, S.L.U.</v>
      </c>
    </row>
    <row r="192" spans="1:5" x14ac:dyDescent="0.25">
      <c r="A192" s="98">
        <f>Hoja1!B191</f>
        <v>44657</v>
      </c>
      <c r="B192" s="99">
        <f>Hoja1!C191</f>
        <v>0.42361111111111099</v>
      </c>
      <c r="C192" s="91" t="str">
        <f>Hoja1!D191</f>
        <v>ENRIQUE RIVAS VILLATORO</v>
      </c>
      <c r="D192" s="91" t="str">
        <f>SERGIO!G191</f>
        <v>JOAQUÍN GARCÍA ANGOSTO</v>
      </c>
      <c r="E192" s="92" t="str">
        <f>Hoja1!E191</f>
        <v>VALORIZA SERVICIOS MEDIOAMBIENTALES</v>
      </c>
    </row>
    <row r="193" spans="1:5" ht="46" x14ac:dyDescent="0.25">
      <c r="A193" s="98">
        <f>Hoja1!B192</f>
        <v>44671</v>
      </c>
      <c r="B193" s="99">
        <f>Hoja1!C192</f>
        <v>0.39930555555555602</v>
      </c>
      <c r="C193" s="91" t="str">
        <f>Hoja1!D192</f>
        <v>ARACELI NAVARRO LÓPEZ</v>
      </c>
      <c r="D193" s="91" t="str">
        <f>SERGIO!G192</f>
        <v>FRANCISCA MARÍA GÓMEZ DÍAZ</v>
      </c>
      <c r="E193" s="92" t="str">
        <f>Hoja1!E192</f>
        <v>MIGUEL SABIO SEN, ABDERRAHIM MOHAMED MOHAND, MOHAMED MOHAMED FAHIM, MUSTAFA MOHAMEDI AL LAL, ABDELHUAHED AL LAL MO0HAMED, SAMIR MOHAMED CHAIB Y REMEDIOS MACHADO ALBA</v>
      </c>
    </row>
    <row r="194" spans="1:5" ht="46" x14ac:dyDescent="0.25">
      <c r="A194" s="98">
        <f>Hoja1!B193</f>
        <v>44671</v>
      </c>
      <c r="B194" s="99">
        <f>Hoja1!C193</f>
        <v>0.40277777777777801</v>
      </c>
      <c r="C194" s="91" t="str">
        <f>Hoja1!D193</f>
        <v>JUAN DÍAZ GARCÍA</v>
      </c>
      <c r="D194" s="91">
        <f>SERGIO!G193</f>
        <v>0</v>
      </c>
      <c r="E194" s="92" t="str">
        <f>Hoja1!E193</f>
        <v>MIGUEL SABIO SEN, ABDERRAHIM MOHAMED MOHAND, MOHAMED MOHAMED FAHIM, MUSTAFA MOHAMEDI AL LAL, ABDELHUAHED AL LAL MO0HAMED, SAMIR MOHAMED CHAIB Y REMEDIOS MACHADO ALBA</v>
      </c>
    </row>
    <row r="195" spans="1:5" x14ac:dyDescent="0.25">
      <c r="A195" s="98">
        <f>Hoja1!B194</f>
        <v>44657</v>
      </c>
      <c r="B195" s="99">
        <f>Hoja1!C194</f>
        <v>0.43402777777777801</v>
      </c>
      <c r="C195" s="91" t="str">
        <f>Hoja1!D194</f>
        <v>FRANCISCO DÍAZ GARCÍA</v>
      </c>
      <c r="D195" s="91" t="str">
        <f>SERGIO!G194</f>
        <v>FARID MOHAMED SAID</v>
      </c>
      <c r="E195" s="92" t="str">
        <f>Hoja1!E194</f>
        <v>SCI (SERVICIO DE COLABORACIÓN INTEGRAL)</v>
      </c>
    </row>
    <row r="196" spans="1:5" x14ac:dyDescent="0.25">
      <c r="A196" s="98">
        <f>Hoja1!B195</f>
        <v>44657</v>
      </c>
      <c r="B196" s="99">
        <f>Hoja1!C195</f>
        <v>0.4375</v>
      </c>
      <c r="C196" s="91" t="str">
        <f>Hoja1!D195</f>
        <v>JUAN FRANCISCO DÍAZ FAUS</v>
      </c>
      <c r="D196" s="91" t="str">
        <f>SERGIO!G195</f>
        <v>DAVID MARÍN SÁNCHEZ</v>
      </c>
      <c r="E196" s="92" t="str">
        <f>Hoja1!E195</f>
        <v>VALORIZA SERVICIOS MEDIOAMBIENTALES</v>
      </c>
    </row>
    <row r="197" spans="1:5" ht="34.5" x14ac:dyDescent="0.25">
      <c r="A197" s="98">
        <f>Hoja1!B196</f>
        <v>44657</v>
      </c>
      <c r="B197" s="99">
        <f>Hoja1!C196</f>
        <v>0.44097222222222199</v>
      </c>
      <c r="C197" s="91" t="str">
        <f>Hoja1!D196</f>
        <v>NORA EMBARK MOHAND</v>
      </c>
      <c r="D197" s="91" t="str">
        <f>SERGIO!G196</f>
        <v>JOSÉ MIGUEL PÉREZ PÉREZ</v>
      </c>
      <c r="E197" s="92" t="str">
        <f>Hoja1!E196</f>
        <v>VALORIZA SERVICIOS MEDIOAMBIENTALES Y UTE URBASER, S.A. Y FOMENTO CONSTRUCCIONES Y CONTRATAS</v>
      </c>
    </row>
    <row r="198" spans="1:5" x14ac:dyDescent="0.25">
      <c r="A198" s="98">
        <f>Hoja1!B197</f>
        <v>44657</v>
      </c>
      <c r="B198" s="99">
        <f>Hoja1!C197</f>
        <v>0.44444444444444398</v>
      </c>
      <c r="C198" s="91" t="str">
        <f>Hoja1!D197</f>
        <v>CRISTINA MORENO MEJÍAS</v>
      </c>
      <c r="D198" s="91" t="str">
        <f>SERGIO!G197</f>
        <v>JOAQUÍN GARCÍA ANGOSTO</v>
      </c>
      <c r="E198" s="92" t="str">
        <f>Hoja1!E197</f>
        <v>EULEN S.A. SERVICIOS SOCIOSANITARIOS</v>
      </c>
    </row>
    <row r="199" spans="1:5" x14ac:dyDescent="0.25">
      <c r="A199" s="98">
        <f>Hoja1!B198</f>
        <v>44657</v>
      </c>
      <c r="B199" s="99">
        <f>Hoja1!C198</f>
        <v>0.44791666666666702</v>
      </c>
      <c r="C199" s="91" t="str">
        <f>Hoja1!D198</f>
        <v>ALICIA SALCEDO BELMONTE</v>
      </c>
      <c r="D199" s="91" t="str">
        <f>SERGIO!G198</f>
        <v>FARID MOHAMED SAID</v>
      </c>
      <c r="E199" s="92" t="str">
        <f>Hoja1!E198</f>
        <v>CARMELO MARTÍNEZ LÁZARO, S.L.U.</v>
      </c>
    </row>
    <row r="200" spans="1:5" x14ac:dyDescent="0.25">
      <c r="A200" s="98">
        <f>Hoja1!B199</f>
        <v>44657</v>
      </c>
      <c r="B200" s="99">
        <f>Hoja1!C199</f>
        <v>0.45138888888888901</v>
      </c>
      <c r="C200" s="91" t="str">
        <f>Hoja1!D199</f>
        <v>IGNACIO FERNANDO DÍEZ ARCAS</v>
      </c>
      <c r="D200" s="91" t="str">
        <f>SERGIO!G199</f>
        <v>MARTA ALONSO SALGADO</v>
      </c>
      <c r="E200" s="92" t="str">
        <f>Hoja1!E199</f>
        <v>CARMELO MARTÍNEZ LÁZARO, S.L.U.</v>
      </c>
    </row>
    <row r="201" spans="1:5" x14ac:dyDescent="0.25">
      <c r="A201" s="98">
        <f>Hoja1!B200</f>
        <v>44657</v>
      </c>
      <c r="B201" s="99">
        <f>Hoja1!C200</f>
        <v>0.45486111111111099</v>
      </c>
      <c r="C201" s="91" t="str">
        <f>Hoja1!D200</f>
        <v>MARÍA ISABEL BERBEL ROJAS</v>
      </c>
      <c r="D201" s="91" t="str">
        <f>SERGIO!G200</f>
        <v>MARTA ALONSO SALGADO</v>
      </c>
      <c r="E201" s="92" t="str">
        <f>Hoja1!E200</f>
        <v>CARMELO MARTÍNEZ LÁZARO, S.L.U.</v>
      </c>
    </row>
    <row r="202" spans="1:5" x14ac:dyDescent="0.25">
      <c r="A202" s="98">
        <f>Hoja1!B201</f>
        <v>44657</v>
      </c>
      <c r="B202" s="99">
        <f>Hoja1!C201</f>
        <v>0.45833333333333298</v>
      </c>
      <c r="C202" s="91" t="str">
        <f>Hoja1!D201</f>
        <v>ENCARNACION ROLDAN PEREZ</v>
      </c>
      <c r="D202" s="91" t="str">
        <f>SERGIO!G201</f>
        <v>MARTA ALONSO SALGADO</v>
      </c>
      <c r="E202" s="92" t="str">
        <f>Hoja1!E201</f>
        <v>SERVICIOS INTEGRALES DE LIMPIEZA NET SL</v>
      </c>
    </row>
    <row r="203" spans="1:5" ht="23" x14ac:dyDescent="0.25">
      <c r="A203" s="98">
        <f>Hoja1!B202</f>
        <v>44657</v>
      </c>
      <c r="B203" s="99">
        <f>Hoja1!C202</f>
        <v>0.46180555555555602</v>
      </c>
      <c r="C203" s="91" t="str">
        <f>Hoja1!D202</f>
        <v>DAVID GRAM¡NADOS JIMWNEZ</v>
      </c>
      <c r="D203" s="91" t="str">
        <f>SERGIO!G202</f>
        <v>CARLOS GONZÁLEZ VARO</v>
      </c>
      <c r="E203" s="92" t="str">
        <f>Hoja1!E202</f>
        <v>BLUE JATIUCA ESPAÑA SL, JEAN BOSSON PEREZ DE LEZA</v>
      </c>
    </row>
    <row r="204" spans="1:5" ht="23" x14ac:dyDescent="0.25">
      <c r="A204" s="98">
        <f>Hoja1!B203</f>
        <v>44657</v>
      </c>
      <c r="B204" s="99">
        <f>Hoja1!C203</f>
        <v>0.46527777777777801</v>
      </c>
      <c r="C204" s="91" t="str">
        <f>Hoja1!D203</f>
        <v>MIMONA MIMUN SEL LAM</v>
      </c>
      <c r="D204" s="91" t="e">
        <f>SERGIO!#REF!</f>
        <v>#REF!</v>
      </c>
      <c r="E204" s="92" t="str">
        <f>Hoja1!E203</f>
        <v>SUPERNOVA ASISTENCIAS, S.L.U. E IKREA-GESTION DE LA CULTURA Y EL OCIO SL</v>
      </c>
    </row>
    <row r="205" spans="1:5" ht="23" x14ac:dyDescent="0.25">
      <c r="A205" s="98">
        <f>Hoja1!B204</f>
        <v>44657</v>
      </c>
      <c r="B205" s="99">
        <f>Hoja1!C204</f>
        <v>0.46875</v>
      </c>
      <c r="C205" s="91" t="str">
        <f>Hoja1!D204</f>
        <v>PAOLA ANDUJAR FERNANDEZ</v>
      </c>
      <c r="D205" s="91" t="str">
        <f>SERGIO!G204</f>
        <v>ELÍAS BENHAMÚ BELILTY</v>
      </c>
      <c r="E205" s="92" t="str">
        <f>Hoja1!E204</f>
        <v>SUPERNOVA ASISTENCIAS, S.L.U. E IKREA-GESTION DE LA CULTURA Y EL OCIO SL</v>
      </c>
    </row>
    <row r="206" spans="1:5" ht="23" x14ac:dyDescent="0.25">
      <c r="A206" s="98">
        <f>Hoja1!B205</f>
        <v>44657</v>
      </c>
      <c r="B206" s="99">
        <f>Hoja1!C205</f>
        <v>0.47222222222222199</v>
      </c>
      <c r="C206" s="91" t="str">
        <f>Hoja1!D205</f>
        <v>NOURA MOHAMED HASSAN</v>
      </c>
      <c r="D206" s="91" t="str">
        <f>SERGIO!G205</f>
        <v>GEMA FERRER RODRÍGUEZ</v>
      </c>
      <c r="E206" s="92" t="str">
        <f>Hoja1!E205</f>
        <v>SUPERNOVA ASISTENCIAS, S.L.U. E IKREA-GESTION DE LA CULTURA Y EL OCIO SL</v>
      </c>
    </row>
    <row r="207" spans="1:5" ht="23" x14ac:dyDescent="0.25">
      <c r="A207" s="98">
        <f>Hoja1!B206</f>
        <v>44657</v>
      </c>
      <c r="B207" s="99">
        <f>Hoja1!C206</f>
        <v>0.47569444444444398</v>
      </c>
      <c r="C207" s="91" t="str">
        <f>Hoja1!D206</f>
        <v>MOHAMED DJABI BAB CHIKR</v>
      </c>
      <c r="D207" s="91" t="str">
        <f>SERGIO!G206</f>
        <v>JOSÉ MARÍA IGNACIO SÁNCHEZ CHOLBI</v>
      </c>
      <c r="E207" s="92" t="str">
        <f>Hoja1!E206</f>
        <v>MUTUA PATRONAL DE ACCIDENTES DE TRABAJO ASEPEYO</v>
      </c>
    </row>
    <row r="208" spans="1:5" x14ac:dyDescent="0.25">
      <c r="A208" s="98">
        <f>Hoja1!B207</f>
        <v>44671</v>
      </c>
      <c r="B208" s="99">
        <f>Hoja1!C207</f>
        <v>0.39583333333333298</v>
      </c>
      <c r="C208" s="91" t="str">
        <f>Hoja1!D207</f>
        <v>FATI M HAMED AHMED</v>
      </c>
      <c r="D208" s="91" t="str">
        <f>SERGIO!G207</f>
        <v>JOAQUÍN GARCÍA ANGOSTO</v>
      </c>
      <c r="E208" s="92" t="str">
        <f>Hoja1!E207</f>
        <v>ISMAEL MOHAMEDI MOHA,MED</v>
      </c>
    </row>
    <row r="209" spans="1:5" ht="23" x14ac:dyDescent="0.25">
      <c r="A209" s="98">
        <f>Hoja1!B208</f>
        <v>44671</v>
      </c>
      <c r="B209" s="99">
        <f>Hoja1!C208</f>
        <v>0.40625</v>
      </c>
      <c r="C209" s="91" t="str">
        <f>Hoja1!D208</f>
        <v>ALEGRIA BENZAQUEN COHEN</v>
      </c>
      <c r="D209" s="91" t="str">
        <f>SERGIO!G208</f>
        <v>DAVID MARÍN SÁNCHEZ</v>
      </c>
      <c r="E209" s="92" t="str">
        <f>Hoja1!E208</f>
        <v>SUPERNOVA ASISTENCIAS, S.L.U. E IKREA-GESTION DE LA CULTURA Y EL OCIO SL</v>
      </c>
    </row>
    <row r="210" spans="1:5" x14ac:dyDescent="0.25">
      <c r="A210" s="98">
        <f>Hoja1!B209</f>
        <v>44655</v>
      </c>
      <c r="B210" s="99">
        <f>Hoja1!C209</f>
        <v>0.39583333333333298</v>
      </c>
      <c r="C210" s="91" t="str">
        <f>Hoja1!D209</f>
        <v>COMISIONES OBRERAS</v>
      </c>
      <c r="D210" s="91" t="str">
        <f>SERGIO!G209</f>
        <v>JOAQUÍN PEDRERO CEBALLOS</v>
      </c>
      <c r="E210" s="92" t="str">
        <f>Hoja1!E209</f>
        <v>ARQUISOCIAL, S.L.</v>
      </c>
    </row>
    <row r="211" spans="1:5" x14ac:dyDescent="0.25">
      <c r="A211" s="98">
        <f>Hoja1!B210</f>
        <v>44671</v>
      </c>
      <c r="B211" s="99">
        <f>Hoja1!C210</f>
        <v>0.40972222222222199</v>
      </c>
      <c r="C211" s="91" t="str">
        <f>Hoja1!D210</f>
        <v>SALAH MOHAND ALI</v>
      </c>
      <c r="D211" s="91" t="str">
        <f>SERGIO!G210</f>
        <v>JOSÉ MARÍA IGNACIO SÁNCHEZ CHOLBI</v>
      </c>
      <c r="E211" s="92" t="str">
        <f>Hoja1!E210</f>
        <v>ARQUISOCIAL, S.L.</v>
      </c>
    </row>
    <row r="212" spans="1:5" x14ac:dyDescent="0.25">
      <c r="A212" s="98">
        <f>Hoja1!B211</f>
        <v>44671</v>
      </c>
      <c r="B212" s="99">
        <f>Hoja1!C211</f>
        <v>0.41319444444444398</v>
      </c>
      <c r="C212" s="91" t="str">
        <f>Hoja1!D211</f>
        <v>ALI DANI TEYIBI</v>
      </c>
      <c r="D212" s="91" t="str">
        <f>SERGIO!G211</f>
        <v>JOSÉ MARÍA IGNACIO SÁNCHEZ CHOLBI</v>
      </c>
      <c r="E212" s="92" t="str">
        <f>Hoja1!E211</f>
        <v>JOSÉ MARÍA ESTRUCH LAHSAINI</v>
      </c>
    </row>
    <row r="213" spans="1:5" x14ac:dyDescent="0.25">
      <c r="A213" s="98">
        <f>Hoja1!B212</f>
        <v>44671</v>
      </c>
      <c r="B213" s="99">
        <f>Hoja1!C212</f>
        <v>0.41666666666666702</v>
      </c>
      <c r="C213" s="91" t="str">
        <f>Hoja1!D212</f>
        <v>MANUEL MIGUEL FERNÁNDEZ RAMÍREZ</v>
      </c>
      <c r="D213" s="91" t="str">
        <f>SERGIO!G212</f>
        <v>FARID AHMED DRIS</v>
      </c>
      <c r="E213" s="92" t="str">
        <f>Hoja1!E212</f>
        <v>SURESTE SEGURIDAD S.L.</v>
      </c>
    </row>
    <row r="214" spans="1:5" x14ac:dyDescent="0.25">
      <c r="A214" s="98">
        <f>Hoja1!B213</f>
        <v>44671</v>
      </c>
      <c r="B214" s="99">
        <f>Hoja1!C213</f>
        <v>0.42013888888888901</v>
      </c>
      <c r="C214" s="91" t="str">
        <f>Hoja1!D213</f>
        <v>JOSE FRANCISCO DOMENECH ROLDAN</v>
      </c>
      <c r="D214" s="91" t="str">
        <f>SERGIO!G213</f>
        <v>JOSÉ MARÍA IGNACIO SÁNCHEZ CHOLBI</v>
      </c>
      <c r="E214" s="92" t="str">
        <f>Hoja1!E213</f>
        <v>KADEM EZACRITI HAMEDI</v>
      </c>
    </row>
    <row r="215" spans="1:5" x14ac:dyDescent="0.25">
      <c r="A215" s="98">
        <f>Hoja1!B214</f>
        <v>44671</v>
      </c>
      <c r="B215" s="99">
        <f>Hoja1!C214</f>
        <v>0.42361111111111099</v>
      </c>
      <c r="C215" s="91" t="str">
        <f>Hoja1!D214</f>
        <v>ABDENNASER JAATIT</v>
      </c>
      <c r="D215" s="91" t="str">
        <f>SERGIO!G214</f>
        <v>MARTA ALONSO SALGADO</v>
      </c>
      <c r="E215" s="92" t="str">
        <f>Hoja1!E214</f>
        <v>HERMANOS AZZOUZI, S.L.</v>
      </c>
    </row>
    <row r="216" spans="1:5" x14ac:dyDescent="0.25">
      <c r="A216" s="98">
        <f>Hoja1!B215</f>
        <v>44671</v>
      </c>
      <c r="B216" s="99">
        <f>Hoja1!C215</f>
        <v>0.42708333333333298</v>
      </c>
      <c r="C216" s="91" t="str">
        <f>Hoja1!D215</f>
        <v>FARAH IKRAM HAMIDA DRISS</v>
      </c>
      <c r="D216" s="91" t="str">
        <f>SERGIO!G215</f>
        <v>DOLORES MARÍA LÓPEZ GUARDIA</v>
      </c>
      <c r="E216" s="92" t="str">
        <f>Hoja1!E215</f>
        <v>SCI (SERVICIOS DE COLABORACIÓN INTEGRAL)</v>
      </c>
    </row>
    <row r="217" spans="1:5" x14ac:dyDescent="0.25">
      <c r="A217" s="98">
        <f>Hoja1!B216</f>
        <v>44671</v>
      </c>
      <c r="B217" s="99">
        <f>Hoja1!C216</f>
        <v>0.43055555555555602</v>
      </c>
      <c r="C217" s="91" t="str">
        <f>Hoja1!D216</f>
        <v>LUIS MIGUEL FERNÁNDEZ RUIZ</v>
      </c>
      <c r="D217" s="91">
        <f>SERGIO!G216</f>
        <v>0</v>
      </c>
      <c r="E217" s="92" t="str">
        <f>Hoja1!E216</f>
        <v>AGENCIA MÉRIDA LOGÍSTICA, S.L.</v>
      </c>
    </row>
    <row r="218" spans="1:5" x14ac:dyDescent="0.25">
      <c r="A218" s="98">
        <f>Hoja1!B217</f>
        <v>44671</v>
      </c>
      <c r="B218" s="99">
        <f>Hoja1!C217</f>
        <v>0.43402777777777801</v>
      </c>
      <c r="C218" s="91" t="str">
        <f>Hoja1!D217</f>
        <v>KARIM MUSTAFA MIZZIAN</v>
      </c>
      <c r="D218" s="91" t="str">
        <f>SERGIO!G217</f>
        <v>GEMA FERRER RODRÍGUEZ</v>
      </c>
      <c r="E218" s="92" t="str">
        <f>Hoja1!E217</f>
        <v>SURESTE SEGURIDAD S.L.</v>
      </c>
    </row>
    <row r="219" spans="1:5" x14ac:dyDescent="0.25">
      <c r="A219" s="98">
        <f>Hoja1!B218</f>
        <v>44671</v>
      </c>
      <c r="B219" s="99">
        <f>Hoja1!C218</f>
        <v>0.4375</v>
      </c>
      <c r="C219" s="91" t="str">
        <f>Hoja1!D218</f>
        <v>KARIM MUSTAFA MIZZIAN</v>
      </c>
      <c r="D219" s="91" t="str">
        <f>SERGIO!G218</f>
        <v>GEMA FERRER RODRÍGUEZ</v>
      </c>
      <c r="E219" s="92" t="str">
        <f>Hoja1!E218</f>
        <v>SURESTE SEGURIDAD S.L.</v>
      </c>
    </row>
    <row r="220" spans="1:5" x14ac:dyDescent="0.25">
      <c r="A220" s="98">
        <f>Hoja1!B219</f>
        <v>44671</v>
      </c>
      <c r="B220" s="99">
        <f>Hoja1!C219</f>
        <v>0.44097222222222199</v>
      </c>
      <c r="C220" s="91" t="str">
        <f>Hoja1!D219</f>
        <v>KARIM MUSTAFA MIZZIAN</v>
      </c>
      <c r="D220" s="91" t="str">
        <f>SERGIO!G219</f>
        <v>JOSÉ MIGUEL PÉREZ PÉREZ</v>
      </c>
      <c r="E220" s="92" t="str">
        <f>Hoja1!E219</f>
        <v>SURESTE SEGURIDAD S.L.</v>
      </c>
    </row>
    <row r="221" spans="1:5" x14ac:dyDescent="0.25">
      <c r="A221" s="98">
        <f>Hoja1!B220</f>
        <v>44671</v>
      </c>
      <c r="B221" s="99">
        <f>Hoja1!C220</f>
        <v>0.44444444444444398</v>
      </c>
      <c r="C221" s="91" t="str">
        <f>Hoja1!D220</f>
        <v>KARIM MUSTAFA MIZZIAN</v>
      </c>
      <c r="D221" s="91" t="str">
        <f>SERGIO!G220</f>
        <v>ABDELMAYID SAID DRIS</v>
      </c>
      <c r="E221" s="92" t="str">
        <f>Hoja1!E220</f>
        <v>SURESTE SEGURIDAD S.L.</v>
      </c>
    </row>
    <row r="222" spans="1:5" x14ac:dyDescent="0.25">
      <c r="A222" s="98">
        <f>Hoja1!B221</f>
        <v>44671</v>
      </c>
      <c r="B222" s="99">
        <f>Hoja1!C221</f>
        <v>0.44791666666666702</v>
      </c>
      <c r="C222" s="91" t="str">
        <f>Hoja1!D221</f>
        <v>EMILIO HERRERO NAVARRO</v>
      </c>
      <c r="D222" s="91" t="str">
        <f>SERGIO!G221</f>
        <v>MARÍA DEL CARMEN PALACIOS COBO</v>
      </c>
      <c r="E222" s="92" t="str">
        <f>Hoja1!E221</f>
        <v>VALORIZA SERVICIOS MEDIOAMBIENTALES</v>
      </c>
    </row>
    <row r="223" spans="1:5" x14ac:dyDescent="0.25">
      <c r="A223" s="98">
        <f>Hoja1!B222</f>
        <v>44671</v>
      </c>
      <c r="B223" s="99">
        <f>Hoja1!C222</f>
        <v>0.45138888888888901</v>
      </c>
      <c r="C223" s="91" t="str">
        <f>Hoja1!D222</f>
        <v>ANA LÓPEZ PARRA</v>
      </c>
      <c r="D223" s="91" t="str">
        <f>SERGIO!G222</f>
        <v>JOAQUÍN GARCÍA ANGOSTO</v>
      </c>
      <c r="E223" s="92" t="str">
        <f>Hoja1!E222</f>
        <v>INNOVA LUCAS, S.L.</v>
      </c>
    </row>
    <row r="224" spans="1:5" x14ac:dyDescent="0.25">
      <c r="A224" s="98">
        <f>Hoja1!B223</f>
        <v>44671</v>
      </c>
      <c r="B224" s="99">
        <f>Hoja1!C223</f>
        <v>0.45486111111111099</v>
      </c>
      <c r="C224" s="91" t="str">
        <f>Hoja1!D223</f>
        <v>EVA MARÍA AGUILERA MARTÍNEZ</v>
      </c>
      <c r="D224" s="91" t="str">
        <f>SERGIO!G223</f>
        <v>JOAQUÍN GARCÍA ANGOSTO</v>
      </c>
      <c r="E224" s="92" t="str">
        <f>Hoja1!E223</f>
        <v>INNOVA LUCAS, S.L.</v>
      </c>
    </row>
    <row r="225" spans="1:5" x14ac:dyDescent="0.25">
      <c r="A225" s="98">
        <f>Hoja1!B224</f>
        <v>44671</v>
      </c>
      <c r="B225" s="99">
        <f>Hoja1!C224</f>
        <v>0.45833333333333298</v>
      </c>
      <c r="C225" s="91" t="str">
        <f>Hoja1!D224</f>
        <v>ROGELIO JESÚS CERVIÑO TOLEDO</v>
      </c>
      <c r="D225" s="91" t="str">
        <f>SERGIO!G224</f>
        <v>JOAQUÍN GARCÍA ANGOSTO</v>
      </c>
      <c r="E225" s="92" t="str">
        <f>Hoja1!E224</f>
        <v>SERVICIOS DE COLABORACIÓN INTEGRAL, S.L.U.</v>
      </c>
    </row>
    <row r="226" spans="1:5" x14ac:dyDescent="0.25">
      <c r="A226" s="98">
        <f>Hoja1!B225</f>
        <v>44671</v>
      </c>
      <c r="B226" s="99">
        <f>Hoja1!C225</f>
        <v>0.46180555555555602</v>
      </c>
      <c r="C226" s="91" t="str">
        <f>Hoja1!D225</f>
        <v>SORAYA MOHAMED OMAR</v>
      </c>
      <c r="D226" s="91" t="str">
        <f>SERGIO!G225</f>
        <v>JOAQUÍN GARCÍA ANGOSTO</v>
      </c>
      <c r="E226" s="92" t="str">
        <f>Hoja1!E225</f>
        <v>BELROS RETAIL, S.A.</v>
      </c>
    </row>
    <row r="227" spans="1:5" x14ac:dyDescent="0.25">
      <c r="A227" s="98">
        <f>Hoja1!B226</f>
        <v>44671</v>
      </c>
      <c r="B227" s="99">
        <f>Hoja1!C226</f>
        <v>0.46527777777777801</v>
      </c>
      <c r="C227" s="91" t="str">
        <f>Hoja1!D226</f>
        <v>MOHAMED TAHIRI</v>
      </c>
      <c r="D227" s="91" t="str">
        <f>SERGIO!G226</f>
        <v>JOAQUÍN GARCÍA ANGOSTO</v>
      </c>
      <c r="E227" s="92" t="str">
        <f>Hoja1!E226</f>
        <v>ESPECIAS Y CONDIMENTOS MELILLA, S.L.</v>
      </c>
    </row>
    <row r="228" spans="1:5" x14ac:dyDescent="0.25">
      <c r="A228" s="98">
        <f>Hoja1!B227</f>
        <v>44678</v>
      </c>
      <c r="B228" s="99">
        <f>Hoja1!C227</f>
        <v>0.39583333333333298</v>
      </c>
      <c r="C228" s="91" t="str">
        <f>Hoja1!D227</f>
        <v>MARIA SOFIA GUIRAU FRANCIA</v>
      </c>
      <c r="D228" s="91" t="str">
        <f>SERGIO!G227</f>
        <v>DAVID MARÍN SÁNCHEZ</v>
      </c>
      <c r="E228" s="92" t="str">
        <f>Hoja1!E227</f>
        <v>CRD INMOGESTION MELILLA SL</v>
      </c>
    </row>
    <row r="229" spans="1:5" x14ac:dyDescent="0.25">
      <c r="A229" s="98">
        <f>Hoja1!B228</f>
        <v>44678</v>
      </c>
      <c r="B229" s="99">
        <f>Hoja1!C228</f>
        <v>0.39930555555555602</v>
      </c>
      <c r="C229" s="91" t="str">
        <f>Hoja1!D228</f>
        <v>SMAIL ALLOUCH</v>
      </c>
      <c r="D229" s="91" t="str">
        <f>SERGIO!G228</f>
        <v>JOUSEFF TORRES OLORIZ MOHAMED</v>
      </c>
      <c r="E229" s="92" t="str">
        <f>Hoja1!E228</f>
        <v>NADIR KARMUDI SLU</v>
      </c>
    </row>
    <row r="230" spans="1:5" x14ac:dyDescent="0.25">
      <c r="A230" s="98">
        <f>Hoja1!B229</f>
        <v>44678</v>
      </c>
      <c r="B230" s="99">
        <f>Hoja1!C229</f>
        <v>0.40277777777777801</v>
      </c>
      <c r="C230" s="91" t="str">
        <f>Hoja1!D229</f>
        <v>SMAIL ALLOUCH</v>
      </c>
      <c r="D230" s="91" t="str">
        <f>SERGIO!G229</f>
        <v>JOUSEFF TORRES OLORIZ MOHAMED</v>
      </c>
      <c r="E230" s="92" t="str">
        <f>Hoja1!E229</f>
        <v>NADIR KARMUDI SLU</v>
      </c>
    </row>
    <row r="231" spans="1:5" x14ac:dyDescent="0.25">
      <c r="A231" s="98">
        <f>Hoja1!B230</f>
        <v>44678</v>
      </c>
      <c r="B231" s="99">
        <f>Hoja1!C230</f>
        <v>0.40625</v>
      </c>
      <c r="C231" s="91" t="str">
        <f>Hoja1!D230</f>
        <v>ADIL BOUKADDOUR DESISTIDA PRESENTA NUEVA CON231</v>
      </c>
      <c r="D231" s="91">
        <f>SERGIO!G230</f>
        <v>0</v>
      </c>
      <c r="E231" s="92" t="str">
        <f>Hoja1!E230</f>
        <v>MIMOUN MOHAMED AL-LAL</v>
      </c>
    </row>
    <row r="232" spans="1:5" x14ac:dyDescent="0.25">
      <c r="A232" s="98">
        <f>Hoja1!B231</f>
        <v>44678</v>
      </c>
      <c r="B232" s="99">
        <f>Hoja1!C231</f>
        <v>0.40972222222222199</v>
      </c>
      <c r="C232" s="91" t="str">
        <f>Hoja1!D231</f>
        <v>MOHAMED JABER BELHAJ</v>
      </c>
      <c r="D232" s="91" t="str">
        <f>SERGIO!G231</f>
        <v>ABDELMAYID SAID DRIS</v>
      </c>
      <c r="E232" s="92" t="str">
        <f>Hoja1!E231</f>
        <v>VALORIZA SERVICIOS MEDIOAMBIENTALES SA</v>
      </c>
    </row>
    <row r="233" spans="1:5" x14ac:dyDescent="0.25">
      <c r="A233" s="98">
        <f>Hoja1!B232</f>
        <v>44678</v>
      </c>
      <c r="B233" s="99">
        <f>Hoja1!C232</f>
        <v>0.41319444444444398</v>
      </c>
      <c r="C233" s="91" t="str">
        <f>Hoja1!D232</f>
        <v>MUSTAFA KADDUR MOHAMED</v>
      </c>
      <c r="D233" s="91" t="str">
        <f>SERGIO!G232</f>
        <v>ABDELMAYID SAID DRIS</v>
      </c>
      <c r="E233" s="92" t="str">
        <f>Hoja1!E232</f>
        <v xml:space="preserve">FUNDACION DIAGRAMA INTERVENCION PSICOSOCIAL </v>
      </c>
    </row>
    <row r="234" spans="1:5" x14ac:dyDescent="0.25">
      <c r="A234" s="98">
        <f>Hoja1!B233</f>
        <v>44678</v>
      </c>
      <c r="B234" s="99">
        <f>Hoja1!C233</f>
        <v>0.41666666666666702</v>
      </c>
      <c r="C234" s="91" t="str">
        <f>Hoja1!D233</f>
        <v>BRAHIM EL HADI AMAR</v>
      </c>
      <c r="D234" s="91" t="str">
        <f>SERGIO!G233</f>
        <v>VICENTE MIGUEL AGÜERA AGUILERA</v>
      </c>
      <c r="E234" s="92" t="str">
        <f>Hoja1!E233</f>
        <v>MELMATIC SL</v>
      </c>
    </row>
    <row r="235" spans="1:5" ht="23" x14ac:dyDescent="0.25">
      <c r="A235" s="98">
        <f>Hoja1!B234</f>
        <v>44678</v>
      </c>
      <c r="B235" s="99">
        <f>Hoja1!C234</f>
        <v>0.42013888888888901</v>
      </c>
      <c r="C235" s="91" t="str">
        <f>Hoja1!D234</f>
        <v>NORA MOHAMED HAMED, FRANCISCA CANO RUIZ, RAUL REY VAZQUEZ, VANESA LOPEZ BOU, M.ª INMACULADA SORIANO RAMON, M.ª JOSE RUIZ CONEJO, MARTA COMPAN SIMON, NASSERA MOHAMED ABDELKADER Y DOLORES SORIANO RAMON</v>
      </c>
      <c r="D235" s="91" t="str">
        <f>SERGIO!G234</f>
        <v>JOSÉ MARÍA IGNACIO SÁNCHEZ CHOLBI</v>
      </c>
      <c r="E235" s="92" t="str">
        <f>Hoja1!E234</f>
        <v>SISTEMAS INTERACTIVOS MULTIMEDIA DE MELILLA SL, BE CALL BPO SL Y AVILON CENTER</v>
      </c>
    </row>
    <row r="236" spans="1:5" x14ac:dyDescent="0.25">
      <c r="A236" s="98">
        <f>Hoja1!B235</f>
        <v>44678</v>
      </c>
      <c r="B236" s="99">
        <f>Hoja1!C235</f>
        <v>0.42361111111111099</v>
      </c>
      <c r="C236" s="91" t="str">
        <f>Hoja1!D235</f>
        <v>MARZOK BUZZIAN MAANAN</v>
      </c>
      <c r="D236" s="91" t="str">
        <f>SERGIO!G235</f>
        <v>JOAQUÍN GARCÍA ANGOSTO</v>
      </c>
      <c r="E236" s="92" t="str">
        <f>Hoja1!E235</f>
        <v>SURESTE SEGURIDAD S.L.</v>
      </c>
    </row>
    <row r="237" spans="1:5" x14ac:dyDescent="0.25">
      <c r="A237" s="98">
        <f>Hoja1!B236</f>
        <v>44678</v>
      </c>
      <c r="B237" s="99">
        <f>Hoja1!C236</f>
        <v>0.42708333333333298</v>
      </c>
      <c r="C237" s="91" t="str">
        <f>Hoja1!D236</f>
        <v>ADIL BOUKADDOUR</v>
      </c>
      <c r="D237" s="91" t="str">
        <f>SERGIO!G236</f>
        <v>FARID MOHAMED SAID</v>
      </c>
      <c r="E237" s="92" t="str">
        <f>Hoja1!E236</f>
        <v>HAMED MOHAMED SI-ALI</v>
      </c>
    </row>
    <row r="238" spans="1:5" x14ac:dyDescent="0.25">
      <c r="A238" s="98">
        <f>Hoja1!B237</f>
        <v>44678</v>
      </c>
      <c r="B238" s="99">
        <f>Hoja1!C237</f>
        <v>0.43055555555555602</v>
      </c>
      <c r="C238" s="91" t="str">
        <f>Hoja1!D237</f>
        <v>YOUNESS EL BAKKAOUI</v>
      </c>
      <c r="D238" s="91" t="str">
        <f>SERGIO!G237</f>
        <v>FAID MOHAMED SAID</v>
      </c>
      <c r="E238" s="92" t="str">
        <f>Hoja1!E237</f>
        <v>HAMED MOHAMED SI-ALI</v>
      </c>
    </row>
    <row r="239" spans="1:5" x14ac:dyDescent="0.25">
      <c r="A239" s="98">
        <f>Hoja1!B238</f>
        <v>44685</v>
      </c>
      <c r="B239" s="99">
        <f>Hoja1!C238</f>
        <v>0.39583333333333298</v>
      </c>
      <c r="C239" s="91" t="str">
        <f>Hoja1!D238</f>
        <v>MOHAMED MAIMOUNI</v>
      </c>
      <c r="D239" s="91" t="str">
        <f>SERGIO!G238</f>
        <v>FARID MOHAMED SAID</v>
      </c>
      <c r="E239" s="92" t="str">
        <f>Hoja1!E238</f>
        <v>MOHAMED EL KAJJOUI EL HAMOUTI</v>
      </c>
    </row>
    <row r="240" spans="1:5" x14ac:dyDescent="0.25">
      <c r="A240" s="98">
        <f>Hoja1!B239</f>
        <v>44685</v>
      </c>
      <c r="B240" s="99">
        <f>Hoja1!C239</f>
        <v>0.39930555555555602</v>
      </c>
      <c r="C240" s="91" t="str">
        <f>Hoja1!D239</f>
        <v xml:space="preserve">MALIKA ZIZAOUI </v>
      </c>
      <c r="D240" s="91" t="str">
        <f>SERGIO!G239</f>
        <v>FARID MOHAMED SAID</v>
      </c>
      <c r="E240" s="92" t="str">
        <f>Hoja1!E239</f>
        <v>SUPERNOVA ASISTENCIAS, S.L.U. Y CLECE, S.A.</v>
      </c>
    </row>
    <row r="241" spans="1:5" ht="23" x14ac:dyDescent="0.25">
      <c r="A241" s="98">
        <f>Hoja1!B240</f>
        <v>44685</v>
      </c>
      <c r="B241" s="99">
        <f>Hoja1!C240</f>
        <v>0.40277777777777801</v>
      </c>
      <c r="C241" s="91" t="str">
        <f>Hoja1!D240</f>
        <v>YAMILA MOHATAR MOH</v>
      </c>
      <c r="D241" s="91" t="str">
        <f>SERGIO!G240</f>
        <v>FARID MOHAMED SAID</v>
      </c>
      <c r="E241" s="92" t="str">
        <f>Hoja1!E240</f>
        <v>COMERCIAL ESPAÑOLA DE RECAMBIOS Y AUTOMÓVILES, S.A. Y CERASA, S.L.</v>
      </c>
    </row>
    <row r="242" spans="1:5" x14ac:dyDescent="0.25">
      <c r="A242" s="98">
        <f>Hoja1!B241</f>
        <v>44685</v>
      </c>
      <c r="B242" s="99">
        <f>Hoja1!C241</f>
        <v>0.40625</v>
      </c>
      <c r="C242" s="91" t="str">
        <f>Hoja1!D241</f>
        <v>MOHAMED ABDESSAMAD MOHAMED</v>
      </c>
      <c r="D242" s="91" t="str">
        <f>SERGIO!G241</f>
        <v>FARID MOHAMED SAID</v>
      </c>
      <c r="E242" s="92" t="str">
        <f>Hoja1!E241</f>
        <v>PROSEGUR ESPAÑA, S.L.</v>
      </c>
    </row>
    <row r="243" spans="1:5" x14ac:dyDescent="0.25">
      <c r="A243" s="98">
        <f>Hoja1!B242</f>
        <v>44676</v>
      </c>
      <c r="B243" s="99">
        <f>Hoja1!C242</f>
        <v>0.4375</v>
      </c>
      <c r="C243" s="91" t="str">
        <f>Hoja1!D242</f>
        <v>COMISIONES OBRERAS</v>
      </c>
      <c r="D243" s="91" t="str">
        <f>SERGIO!G242</f>
        <v>VICENTE MIGUEL AGÜERA AGUILERA</v>
      </c>
      <c r="E243" s="92" t="str">
        <f>Hoja1!E242</f>
        <v>ARQUISOCIAL, S.L.</v>
      </c>
    </row>
    <row r="244" spans="1:5" x14ac:dyDescent="0.25">
      <c r="A244" s="98">
        <f>Hoja1!B243</f>
        <v>44685</v>
      </c>
      <c r="B244" s="99">
        <f>Hoja1!C243</f>
        <v>0.375</v>
      </c>
      <c r="C244" s="91" t="str">
        <f>Hoja1!D243</f>
        <v>JUAN SANTIAGO SANTIAGO</v>
      </c>
      <c r="D244" s="91" t="str">
        <f>SERGIO!G243</f>
        <v>ENRIQUE ALCOBA VIZCAÍNO</v>
      </c>
      <c r="E244" s="92" t="str">
        <f>Hoja1!E243</f>
        <v>EULEN, S.A.</v>
      </c>
    </row>
    <row r="245" spans="1:5" x14ac:dyDescent="0.25">
      <c r="A245" s="98">
        <f>Hoja1!B244</f>
        <v>44692</v>
      </c>
      <c r="B245" s="99">
        <f>Hoja1!C244</f>
        <v>0.39583333333333298</v>
      </c>
      <c r="C245" s="91" t="str">
        <f>Hoja1!D244</f>
        <v>JAMAL EL MAKRINI</v>
      </c>
      <c r="D245" s="91">
        <f>SERGIO!G244</f>
        <v>0</v>
      </c>
      <c r="E245" s="92" t="str">
        <f>Hoja1!E244</f>
        <v>MIMOUN MOHAMED AL-LAL</v>
      </c>
    </row>
    <row r="246" spans="1:5" x14ac:dyDescent="0.25">
      <c r="A246" s="98">
        <f>Hoja1!B245</f>
        <v>44692</v>
      </c>
      <c r="B246" s="99">
        <f>Hoja1!C245</f>
        <v>0.39930555555555602</v>
      </c>
      <c r="C246" s="91" t="str">
        <f>Hoja1!D245</f>
        <v>MARIA DEL CARMEN PONS ALVAREZ</v>
      </c>
      <c r="D246" s="91" t="str">
        <f>SERGIO!G245</f>
        <v>JOAQUÍN GARCÍA ANGOSTO</v>
      </c>
      <c r="E246" s="92" t="str">
        <f>Hoja1!E245</f>
        <v xml:space="preserve">EULEN SA </v>
      </c>
    </row>
    <row r="247" spans="1:5" x14ac:dyDescent="0.25">
      <c r="A247" s="98">
        <f>Hoja1!B246</f>
        <v>44692</v>
      </c>
      <c r="B247" s="99">
        <f>Hoja1!C246</f>
        <v>0.40277777777777801</v>
      </c>
      <c r="C247" s="91" t="str">
        <f>Hoja1!D246</f>
        <v>AMAR MOHAMED EL MESSAOUIDI</v>
      </c>
      <c r="D247" s="91" t="str">
        <f>SERGIO!G246</f>
        <v>DAVID MARÍN SÁNCHEZ</v>
      </c>
      <c r="E247" s="92" t="str">
        <f>Hoja1!E246</f>
        <v>EULEN, S.A.</v>
      </c>
    </row>
    <row r="248" spans="1:5" x14ac:dyDescent="0.25">
      <c r="A248" s="98">
        <f>Hoja1!B247</f>
        <v>44685</v>
      </c>
      <c r="B248" s="99">
        <f>Hoja1!C247</f>
        <v>0.37847222222222199</v>
      </c>
      <c r="C248" s="91" t="str">
        <f>Hoja1!D247</f>
        <v>SINDICATO INDEPENDIENTE DE MELILLA (SIM</v>
      </c>
      <c r="D248" s="91" t="str">
        <f>SERGIO!G247</f>
        <v>JOSÉ MIGUEL PÉREZ PÉREZ</v>
      </c>
      <c r="E248" s="92" t="str">
        <f>Hoja1!E247</f>
        <v>SURESTE SEGURIDAD S.L.</v>
      </c>
    </row>
    <row r="249" spans="1:5" x14ac:dyDescent="0.25">
      <c r="A249" s="98">
        <f>Hoja1!B248</f>
        <v>44692</v>
      </c>
      <c r="B249" s="99">
        <f>Hoja1!C248</f>
        <v>0.40625</v>
      </c>
      <c r="C249" s="91" t="str">
        <f>Hoja1!D248</f>
        <v>ATMAN AMJAHED</v>
      </c>
      <c r="D249" s="91" t="str">
        <f>SERGIO!G248</f>
        <v>JOSÉ MIGUEL PÉREZ PÉREZ</v>
      </c>
      <c r="E249" s="92" t="str">
        <f>Hoja1!E248</f>
        <v>MIMOUN MOHAMED AL-LAL</v>
      </c>
    </row>
    <row r="250" spans="1:5" x14ac:dyDescent="0.25">
      <c r="A250" s="98">
        <f>Hoja1!B249</f>
        <v>44692</v>
      </c>
      <c r="B250" s="99">
        <f>Hoja1!C249</f>
        <v>0.40972222222222199</v>
      </c>
      <c r="C250" s="91" t="str">
        <f>Hoja1!D249</f>
        <v>BRAHIM AFERFACHE</v>
      </c>
      <c r="D250" s="91">
        <f>SERGIO!G249</f>
        <v>0</v>
      </c>
      <c r="E250" s="92" t="str">
        <f>Hoja1!E249</f>
        <v>MELIREP, S.L.</v>
      </c>
    </row>
    <row r="251" spans="1:5" x14ac:dyDescent="0.25">
      <c r="A251" s="98">
        <f>Hoja1!B250</f>
        <v>44692</v>
      </c>
      <c r="B251" s="99">
        <f>Hoja1!C250</f>
        <v>0.41319444444444398</v>
      </c>
      <c r="C251" s="91" t="str">
        <f>Hoja1!D250</f>
        <v>MUSA AL LAL BENAISA</v>
      </c>
      <c r="D251" s="91">
        <f>SERGIO!G250</f>
        <v>0</v>
      </c>
      <c r="E251" s="92" t="str">
        <f>Hoja1!E250</f>
        <v>SURESTE SEGURIDAD S.L.</v>
      </c>
    </row>
    <row r="252" spans="1:5" x14ac:dyDescent="0.25">
      <c r="A252" s="98">
        <f>Hoja1!B251</f>
        <v>44692</v>
      </c>
      <c r="B252" s="99">
        <f>Hoja1!C251</f>
        <v>0.41666666666666702</v>
      </c>
      <c r="C252" s="91" t="str">
        <f>Hoja1!D251</f>
        <v>RACHID MOHAMED MOHAMED</v>
      </c>
      <c r="D252" s="91" t="str">
        <f>SERGIO!G251</f>
        <v>MIGUEL ÁNGEL PELÁEZ ZAMORA</v>
      </c>
      <c r="E252" s="92" t="str">
        <f>Hoja1!E251</f>
        <v>VALORIZA SERVICIOS MEDIOAMBIENTALES</v>
      </c>
    </row>
    <row r="253" spans="1:5" x14ac:dyDescent="0.25">
      <c r="A253" s="98">
        <f>Hoja1!B252</f>
        <v>44692</v>
      </c>
      <c r="B253" s="99">
        <f>Hoja1!C252</f>
        <v>0.42013888888888901</v>
      </c>
      <c r="C253" s="91" t="str">
        <f>Hoja1!D252</f>
        <v>TARIK BOUHNOUF SAHAIM</v>
      </c>
      <c r="D253" s="91" t="str">
        <f>SERGIO!G252</f>
        <v>FARID MOHAMED SAID</v>
      </c>
      <c r="E253" s="92" t="str">
        <f>Hoja1!E252</f>
        <v>RENVERSE, S.L.</v>
      </c>
    </row>
    <row r="254" spans="1:5" x14ac:dyDescent="0.25">
      <c r="A254" s="98">
        <f>Hoja1!B253</f>
        <v>44692</v>
      </c>
      <c r="B254" s="99">
        <f>Hoja1!C253</f>
        <v>0.42361111111111099</v>
      </c>
      <c r="C254" s="91" t="str">
        <f>Hoja1!D253</f>
        <v>WAFA ABDELKADER HADU</v>
      </c>
      <c r="D254" s="91">
        <f>SERGIO!G253</f>
        <v>0</v>
      </c>
      <c r="E254" s="92" t="str">
        <f>Hoja1!E253</f>
        <v>RENVERSE, S.L.</v>
      </c>
    </row>
    <row r="255" spans="1:5" x14ac:dyDescent="0.25">
      <c r="A255" s="98">
        <f>Hoja1!B254</f>
        <v>44692</v>
      </c>
      <c r="B255" s="99">
        <f>Hoja1!C254</f>
        <v>0.42708333333333298</v>
      </c>
      <c r="C255" s="91" t="str">
        <f>Hoja1!D254</f>
        <v>LUIS MIGUEL FERNÁNDEZ RUIZ</v>
      </c>
      <c r="D255" s="91">
        <f>SERGIO!G254</f>
        <v>0</v>
      </c>
      <c r="E255" s="92" t="str">
        <f>Hoja1!E254</f>
        <v>AGENCIA MÉRIDA LOGÍSTICA, S.L.</v>
      </c>
    </row>
    <row r="256" spans="1:5" ht="23" x14ac:dyDescent="0.25">
      <c r="A256" s="98">
        <f>Hoja1!B255</f>
        <v>44692</v>
      </c>
      <c r="B256" s="99">
        <f>Hoja1!C255</f>
        <v>0.43055555555555602</v>
      </c>
      <c r="C256" s="91" t="str">
        <f>Hoja1!D255</f>
        <v>YUSRI AMEKRAN MOHAMED DRIS</v>
      </c>
      <c r="D256" s="91">
        <f>SERGIO!G255</f>
        <v>0</v>
      </c>
      <c r="E256" s="92" t="str">
        <f>Hoja1!E255</f>
        <v>CLECE SEGURIDAD, S.A.U. Y PROSEGUR SOLUCIONES INTEGRALES SEGURIDAD</v>
      </c>
    </row>
    <row r="257" spans="1:5" ht="23" x14ac:dyDescent="0.25">
      <c r="A257" s="98">
        <f>Hoja1!B256</f>
        <v>44692</v>
      </c>
      <c r="B257" s="99">
        <f>Hoja1!C256</f>
        <v>0.43402777777777801</v>
      </c>
      <c r="C257" s="91" t="str">
        <f>Hoja1!D256</f>
        <v>ALI EL HADI EL ARNOUKI</v>
      </c>
      <c r="D257" s="91" t="str">
        <f>SERGIO!G256</f>
        <v>DAVID MARÍN SÁNCHEZ</v>
      </c>
      <c r="E257" s="92" t="str">
        <f>Hoja1!E256</f>
        <v>CLECE SEGURIDAD, S.A.U. Y PROSEGUR SOLUCIONES INTEGRALES SEGURIDAD</v>
      </c>
    </row>
    <row r="258" spans="1:5" ht="23" x14ac:dyDescent="0.25">
      <c r="A258" s="98">
        <f>Hoja1!B257</f>
        <v>44692</v>
      </c>
      <c r="B258" s="99">
        <f>Hoja1!C257</f>
        <v>0.4375</v>
      </c>
      <c r="C258" s="91" t="str">
        <f>Hoja1!D257</f>
        <v>JAIME DRIS BENAISA</v>
      </c>
      <c r="D258" s="91">
        <f>SERGIO!G257</f>
        <v>0</v>
      </c>
      <c r="E258" s="92" t="str">
        <f>Hoja1!E257</f>
        <v>CLECE SEGURIDAD, S.A.U. Y PROSEGUR SOLUCIONES INTEGRALES SEGURIDAD</v>
      </c>
    </row>
    <row r="259" spans="1:5" ht="23" x14ac:dyDescent="0.25">
      <c r="A259" s="98">
        <f>Hoja1!B258</f>
        <v>44692</v>
      </c>
      <c r="B259" s="99">
        <f>Hoja1!C258</f>
        <v>0.44097222222222199</v>
      </c>
      <c r="C259" s="91" t="str">
        <f>Hoja1!D258</f>
        <v>SUFIAN BOUHNOUF SAHAIM</v>
      </c>
      <c r="D259" s="91" t="str">
        <f>SERGIO!G258</f>
        <v>VÍCTOR JOAQUÍN ABSELAN RODRÍGUEZ</v>
      </c>
      <c r="E259" s="92" t="str">
        <f>Hoja1!E258</f>
        <v>CLECE SEGURIDAD, S.A.U. Y PROSEGUR SOLUCIONES INTEGRALES SEGURIDAD</v>
      </c>
    </row>
    <row r="260" spans="1:5" x14ac:dyDescent="0.25">
      <c r="A260" s="98">
        <f>Hoja1!B259</f>
        <v>44692</v>
      </c>
      <c r="B260" s="99">
        <f>Hoja1!C259</f>
        <v>0.44444444444444398</v>
      </c>
      <c r="C260" s="91" t="str">
        <f>Hoja1!D259</f>
        <v>HASSAN EL BAHRAOUI</v>
      </c>
      <c r="D260" s="91">
        <f>SERGIO!G259</f>
        <v>0</v>
      </c>
      <c r="E260" s="92" t="str">
        <f>Hoja1!E259</f>
        <v>DORANJO, S.L.U.</v>
      </c>
    </row>
    <row r="261" spans="1:5" x14ac:dyDescent="0.25">
      <c r="A261" s="98">
        <f>Hoja1!B260</f>
        <v>44699</v>
      </c>
      <c r="B261" s="99">
        <f>Hoja1!C260</f>
        <v>0.39583333333333298</v>
      </c>
      <c r="C261" s="91" t="str">
        <f>Hoja1!D260</f>
        <v>YAMAL MOHAMED ABDESELAM</v>
      </c>
      <c r="D261" s="91" t="str">
        <f>SERGIO!G260</f>
        <v>JOAQUÍN GARCÍA ANGOSTO</v>
      </c>
      <c r="E261" s="92" t="str">
        <f>Hoja1!E260</f>
        <v>KARIM EL FOUNTI FEKRY</v>
      </c>
    </row>
    <row r="262" spans="1:5" x14ac:dyDescent="0.25">
      <c r="A262" s="98">
        <f>Hoja1!B261</f>
        <v>44699</v>
      </c>
      <c r="B262" s="99">
        <f>Hoja1!C261</f>
        <v>0.39930555555555602</v>
      </c>
      <c r="C262" s="91" t="str">
        <f>Hoja1!D261</f>
        <v>YIHAM DRISS AMAR</v>
      </c>
      <c r="D262" s="91">
        <f>SERGIO!G261</f>
        <v>0</v>
      </c>
      <c r="E262" s="92" t="str">
        <f>Hoja1!E261</f>
        <v>EULEN SERVICIOS SOCIOSANITARIOS, S.A.</v>
      </c>
    </row>
    <row r="263" spans="1:5" x14ac:dyDescent="0.25">
      <c r="A263" s="98">
        <f>Hoja1!B262</f>
        <v>44699</v>
      </c>
      <c r="B263" s="99">
        <f>Hoja1!C262</f>
        <v>0.40277777777777801</v>
      </c>
      <c r="C263" s="91" t="str">
        <f>Hoja1!D262</f>
        <v>EL OUARDA EL MANSOURI BIJJI</v>
      </c>
      <c r="D263" s="91">
        <f>SERGIO!G262</f>
        <v>0</v>
      </c>
      <c r="E263" s="92" t="str">
        <f>Hoja1!E262</f>
        <v>AMBULANCIAS TENORIO E HIJOS, S.L.</v>
      </c>
    </row>
    <row r="264" spans="1:5" x14ac:dyDescent="0.25">
      <c r="A264" s="98">
        <f>Hoja1!B263</f>
        <v>44699</v>
      </c>
      <c r="B264" s="99">
        <f>Hoja1!C263</f>
        <v>0.40625</v>
      </c>
      <c r="C264" s="91" t="str">
        <f>Hoja1!D263</f>
        <v>JUAN ANTONIO GONZALEZ BUENO</v>
      </c>
      <c r="D264" s="91" t="str">
        <f>SERGIO!G263</f>
        <v>ABDELMAYID SAID DRIS</v>
      </c>
      <c r="E264" s="92" t="str">
        <f>Hoja1!E263</f>
        <v>EULEN SERVICIOS SOCIOSANITARIOS Y CLECE SA</v>
      </c>
    </row>
    <row r="265" spans="1:5" x14ac:dyDescent="0.25">
      <c r="A265" s="98">
        <f>Hoja1!B264</f>
        <v>44699</v>
      </c>
      <c r="B265" s="99">
        <f>Hoja1!C264</f>
        <v>0.40972222222222199</v>
      </c>
      <c r="C265" s="91" t="str">
        <f>Hoja1!D264</f>
        <v>ENARA ARREGUI QUINTANILLA</v>
      </c>
      <c r="D265" s="91" t="str">
        <f>SERGIO!G264</f>
        <v>FARID MOHAMED SAID</v>
      </c>
      <c r="E265" s="92" t="str">
        <f>Hoja1!E264</f>
        <v>EULEN SERVICIOS SOCIOSANITARIOS Y CLECE SA</v>
      </c>
    </row>
    <row r="266" spans="1:5" ht="23" x14ac:dyDescent="0.25">
      <c r="A266" s="98">
        <f>Hoja1!B265</f>
        <v>44706</v>
      </c>
      <c r="B266" s="99">
        <f>Hoja1!C265</f>
        <v>0.39583333333333298</v>
      </c>
      <c r="C266" s="91" t="str">
        <f>Hoja1!D265</f>
        <v>CHEYMA MOHAMEDI MOHAND</v>
      </c>
      <c r="D266" s="91" t="str">
        <f>SERGIO!G265</f>
        <v>JOAQUÍN GARCÍA ANGOSTO</v>
      </c>
      <c r="E266" s="92" t="str">
        <f>Hoja1!E265</f>
        <v>SHALON 26 SL, ABRAHAM MORELY LEVY Y ARIEL MOISES OBADIA LEVY</v>
      </c>
    </row>
    <row r="267" spans="1:5" x14ac:dyDescent="0.25">
      <c r="A267" s="98">
        <f>Hoja1!B266</f>
        <v>44699</v>
      </c>
      <c r="B267" s="99">
        <f>Hoja1!C266</f>
        <v>0.41319444444444398</v>
      </c>
      <c r="C267" s="91" t="str">
        <f>Hoja1!D266</f>
        <v>ABDELHUAHED AL LAL MOHAND</v>
      </c>
      <c r="D267" s="91" t="str">
        <f>SERGIO!G266</f>
        <v>JOAQUÍN GARCÍA ANGOSTO</v>
      </c>
      <c r="E267" s="92" t="str">
        <f>Hoja1!E266</f>
        <v>VALORIZA SERVICIOS MEDIOAMBIENTALES</v>
      </c>
    </row>
    <row r="268" spans="1:5" x14ac:dyDescent="0.25">
      <c r="A268" s="98" t="str">
        <f>Hoja1!B267</f>
        <v>18/’05/2022</v>
      </c>
      <c r="B268" s="99">
        <f>Hoja1!C267</f>
        <v>0.41666666666666702</v>
      </c>
      <c r="C268" s="91" t="str">
        <f>Hoja1!D267</f>
        <v>MUSTAFA MOHAMEDI AL LAL</v>
      </c>
      <c r="D268" s="91">
        <f>SERGIO!G267</f>
        <v>0</v>
      </c>
      <c r="E268" s="92" t="str">
        <f>Hoja1!E267</f>
        <v>VALORIZA SERVICIOS MEDIOAMBIENTALES</v>
      </c>
    </row>
    <row r="269" spans="1:5" x14ac:dyDescent="0.25">
      <c r="A269" s="98">
        <f>Hoja1!B268</f>
        <v>44699</v>
      </c>
      <c r="B269" s="99">
        <f>Hoja1!C268</f>
        <v>0.42013888888888901</v>
      </c>
      <c r="C269" s="91" t="str">
        <f>Hoja1!D268</f>
        <v>BRAHIM EL HADI AMAR</v>
      </c>
      <c r="D269" s="91" t="str">
        <f>SERGIO!G268</f>
        <v>JOSÉ MIGUEL PÉREZ PÉREZ</v>
      </c>
      <c r="E269" s="92" t="str">
        <f>Hoja1!E268</f>
        <v>MELMATIC SL</v>
      </c>
    </row>
    <row r="270" spans="1:5" x14ac:dyDescent="0.25">
      <c r="A270" s="98">
        <f>Hoja1!B269</f>
        <v>44699</v>
      </c>
      <c r="B270" s="99">
        <f>Hoja1!C269</f>
        <v>0.42361111111111099</v>
      </c>
      <c r="C270" s="91" t="str">
        <f>Hoja1!D269</f>
        <v>ÁNGEL BENÍTEZ SOLER</v>
      </c>
      <c r="D270" s="91" t="str">
        <f>SERGIO!G269</f>
        <v>JOAQUÍN PEDRERO CEBALLOS</v>
      </c>
      <c r="E270" s="92" t="str">
        <f>Hoja1!E269</f>
        <v>AGENCIA MÉRIDA LOGÍSTICA, S.L.</v>
      </c>
    </row>
    <row r="271" spans="1:5" x14ac:dyDescent="0.25">
      <c r="A271" s="98">
        <f>Hoja1!B270</f>
        <v>44706</v>
      </c>
      <c r="B271" s="99">
        <f>Hoja1!C270</f>
        <v>0.39930555555555602</v>
      </c>
      <c r="C271" s="91" t="str">
        <f>Hoja1!D270</f>
        <v>FADOUA BOUHOT</v>
      </c>
      <c r="D271" s="91" t="str">
        <f>SERGIO!G270</f>
        <v>JOAQUÍN PEDRERO CEBALLOS</v>
      </c>
      <c r="E271" s="92" t="str">
        <f>Hoja1!E270</f>
        <v>PANADERÍA Y CONFITERÍA AROMA, S.L.</v>
      </c>
    </row>
    <row r="272" spans="1:5" x14ac:dyDescent="0.25">
      <c r="A272" s="98">
        <f>Hoja1!B271</f>
        <v>44706</v>
      </c>
      <c r="B272" s="99">
        <f>Hoja1!C271</f>
        <v>0.40277777777777801</v>
      </c>
      <c r="C272" s="91" t="str">
        <f>Hoja1!D271</f>
        <v>JOSE CUETO ZAPATA</v>
      </c>
      <c r="D272" s="91">
        <f>SERGIO!G271</f>
        <v>0</v>
      </c>
      <c r="E272" s="92" t="str">
        <f>Hoja1!E271</f>
        <v>PROSEGUR SERVICIOS DE EFECTIVOS ESPAÑA</v>
      </c>
    </row>
    <row r="273" spans="1:5" x14ac:dyDescent="0.25">
      <c r="A273" s="98">
        <f>Hoja1!B272</f>
        <v>44706</v>
      </c>
      <c r="B273" s="99">
        <f>Hoja1!C272</f>
        <v>0.40625</v>
      </c>
      <c r="C273" s="91" t="str">
        <f>Hoja1!D272</f>
        <v>MANOLI MEDRANO MEDRANO</v>
      </c>
      <c r="D273" s="91" t="str">
        <f>SERGIO!G272</f>
        <v>DAVID MARÍN SÁNCHEZ</v>
      </c>
      <c r="E273" s="92" t="str">
        <f>Hoja1!E272</f>
        <v>CLECE SA</v>
      </c>
    </row>
    <row r="274" spans="1:5" x14ac:dyDescent="0.25">
      <c r="A274" s="98">
        <f>Hoja1!B273</f>
        <v>44713</v>
      </c>
      <c r="B274" s="99">
        <f>Hoja1!C273</f>
        <v>0.39583333333333298</v>
      </c>
      <c r="C274" s="91" t="str">
        <f>Hoja1!D273</f>
        <v>MINA EL BEDAATI</v>
      </c>
      <c r="D274" s="91">
        <f>SERGIO!G273</f>
        <v>0</v>
      </c>
      <c r="E274" s="92" t="str">
        <f>Hoja1!E273</f>
        <v>ABDELKADER ZARIOH MOHAMED</v>
      </c>
    </row>
    <row r="275" spans="1:5" x14ac:dyDescent="0.25">
      <c r="A275" s="98">
        <f>Hoja1!B274</f>
        <v>44706</v>
      </c>
      <c r="B275" s="99">
        <f>Hoja1!C274</f>
        <v>0.40972222222222199</v>
      </c>
      <c r="C275" s="91" t="str">
        <f>Hoja1!D274</f>
        <v>FRANCISCO JAVIER ÁLAMO PELEGRÍN</v>
      </c>
      <c r="D275" s="91">
        <f>SERGIO!G274</f>
        <v>0</v>
      </c>
      <c r="E275" s="92" t="str">
        <f>Hoja1!E274</f>
        <v>BLUE JATIUCA ESPAÑA, S.L.</v>
      </c>
    </row>
    <row r="276" spans="1:5" x14ac:dyDescent="0.25">
      <c r="A276" s="98">
        <f>Hoja1!B275</f>
        <v>44706</v>
      </c>
      <c r="B276" s="99">
        <f>Hoja1!C275</f>
        <v>0.41319444444444398</v>
      </c>
      <c r="C276" s="91" t="str">
        <f>Hoja1!D275</f>
        <v>ISLAM CHARID MIMON</v>
      </c>
      <c r="D276" s="91">
        <f>SERGIO!G275</f>
        <v>0</v>
      </c>
      <c r="E276" s="92" t="str">
        <f>Hoja1!E275</f>
        <v>TETESTEA, S.L.</v>
      </c>
    </row>
    <row r="277" spans="1:5" x14ac:dyDescent="0.25">
      <c r="A277" s="98">
        <f>Hoja1!B276</f>
        <v>44706</v>
      </c>
      <c r="B277" s="99">
        <f>Hoja1!C276</f>
        <v>0.41666666666666702</v>
      </c>
      <c r="C277" s="91" t="str">
        <f>Hoja1!D276</f>
        <v>SANA ABDELKADER AHMED</v>
      </c>
      <c r="D277" s="91" t="str">
        <f>SERGIO!G276</f>
        <v>JOAQUÍN PEDRERO CEBALLOS</v>
      </c>
      <c r="E277" s="92" t="str">
        <f>Hoja1!E276</f>
        <v>GRAN CASINO DE MELILLA</v>
      </c>
    </row>
    <row r="278" spans="1:5" x14ac:dyDescent="0.25">
      <c r="A278" s="98">
        <f>Hoja1!B277</f>
        <v>44706</v>
      </c>
      <c r="B278" s="99">
        <f>Hoja1!C277</f>
        <v>0.42013888888888901</v>
      </c>
      <c r="C278" s="91" t="str">
        <f>Hoja1!D277</f>
        <v>MIGUEL SEGURA HERNÁNDEZ</v>
      </c>
      <c r="D278" s="91" t="str">
        <f>SERGIO!G277</f>
        <v>FARID MOHAMED SAID</v>
      </c>
      <c r="E278" s="92" t="str">
        <f>Hoja1!E277</f>
        <v>GRAN CASINO DE MELILLA</v>
      </c>
    </row>
    <row r="279" spans="1:5" x14ac:dyDescent="0.25">
      <c r="A279" s="98">
        <f>Hoja1!B278</f>
        <v>44713</v>
      </c>
      <c r="B279" s="99">
        <f>Hoja1!C278</f>
        <v>0.39930555555555602</v>
      </c>
      <c r="C279" s="91" t="str">
        <f>Hoja1!D278</f>
        <v>DANIEL LOZANO BARROS</v>
      </c>
      <c r="D279" s="91">
        <f>SERGIO!G278</f>
        <v>0</v>
      </c>
      <c r="E279" s="92" t="str">
        <f>Hoja1!E278</f>
        <v>DEXFIRE MELILLA, S.L.</v>
      </c>
    </row>
    <row r="280" spans="1:5" x14ac:dyDescent="0.25">
      <c r="A280" s="98">
        <f>Hoja1!B279</f>
        <v>44713</v>
      </c>
      <c r="B280" s="99">
        <f>Hoja1!C279</f>
        <v>0.40277777777777801</v>
      </c>
      <c r="C280" s="91" t="str">
        <f>Hoja1!D279</f>
        <v>ZAMIRA BENAISA HOSSAIN</v>
      </c>
      <c r="D280" s="91">
        <f>SERGIO!G279</f>
        <v>0</v>
      </c>
      <c r="E280" s="92" t="str">
        <f>Hoja1!E279</f>
        <v>RENVERSE, S.L.</v>
      </c>
    </row>
    <row r="281" spans="1:5" x14ac:dyDescent="0.25">
      <c r="A281" s="98">
        <f>Hoja1!B280</f>
        <v>44713</v>
      </c>
      <c r="B281" s="99">
        <f>Hoja1!C280</f>
        <v>0.40625</v>
      </c>
      <c r="C281" s="91" t="str">
        <f>Hoja1!D280</f>
        <v>VANESA CUENCA VEGA</v>
      </c>
      <c r="D281" s="91">
        <f>SERGIO!G280</f>
        <v>0</v>
      </c>
      <c r="E281" s="92" t="str">
        <f>Hoja1!E280</f>
        <v>RENVERSE, S.L.</v>
      </c>
    </row>
    <row r="282" spans="1:5" x14ac:dyDescent="0.25">
      <c r="A282" s="98">
        <f>Hoja1!B281</f>
        <v>44713</v>
      </c>
      <c r="B282" s="99">
        <f>Hoja1!C281</f>
        <v>0.40972222222222199</v>
      </c>
      <c r="C282" s="91" t="str">
        <f>Hoja1!D281</f>
        <v>NORDIN MOHAMED MOHAMED</v>
      </c>
      <c r="D282" s="91">
        <f>SERGIO!G281</f>
        <v>0</v>
      </c>
      <c r="E282" s="92" t="str">
        <f>Hoja1!E281</f>
        <v>SURESTE SEGURIDAD, S.L.</v>
      </c>
    </row>
    <row r="283" spans="1:5" x14ac:dyDescent="0.25">
      <c r="A283" s="98">
        <f>Hoja1!B282</f>
        <v>44713</v>
      </c>
      <c r="B283" s="99">
        <f>Hoja1!C282</f>
        <v>0.41319444444444398</v>
      </c>
      <c r="C283" s="91" t="str">
        <f>Hoja1!D282</f>
        <v>ÁNGEL MARTÍNEZ GARCÍA</v>
      </c>
      <c r="D283" s="91" t="str">
        <f>SERGIO!G282</f>
        <v>JOAQUÍN GARCÍA ANGOSTO</v>
      </c>
      <c r="E283" s="92" t="str">
        <f>Hoja1!E282</f>
        <v>SURESTE SEGURIDAD, S.L.</v>
      </c>
    </row>
    <row r="284" spans="1:5" x14ac:dyDescent="0.25">
      <c r="A284" s="98">
        <f>Hoja1!B283</f>
        <v>44713</v>
      </c>
      <c r="B284" s="99">
        <f>Hoja1!C283</f>
        <v>0.41666666666666702</v>
      </c>
      <c r="C284" s="91" t="str">
        <f>Hoja1!D283</f>
        <v>TEODORO LEAL MIGUEZ</v>
      </c>
      <c r="D284" s="91" t="str">
        <f>SERGIO!G283</f>
        <v>JOAQUÍN GARCÍA ANGOSTO</v>
      </c>
      <c r="E284" s="92" t="str">
        <f>Hoja1!E283</f>
        <v>SURESTE SEGURIDAD, S.L.</v>
      </c>
    </row>
    <row r="285" spans="1:5" x14ac:dyDescent="0.25">
      <c r="A285" s="98">
        <f>Hoja1!B284</f>
        <v>44713</v>
      </c>
      <c r="B285" s="99">
        <f>Hoja1!C284</f>
        <v>0.42013888888888901</v>
      </c>
      <c r="C285" s="91" t="str">
        <f>Hoja1!D284</f>
        <v>BOUZIAN BENALI</v>
      </c>
      <c r="D285" s="91" t="str">
        <f>SERGIO!G284</f>
        <v>JOAQUÍN GARCÍA ANGOSTO</v>
      </c>
      <c r="E285" s="92" t="str">
        <f>Hoja1!E284</f>
        <v>NORAMIN MELILLA, S.L.</v>
      </c>
    </row>
    <row r="286" spans="1:5" ht="23" x14ac:dyDescent="0.25">
      <c r="A286" s="98">
        <f>Hoja1!B285</f>
        <v>44713</v>
      </c>
      <c r="B286" s="99">
        <f>Hoja1!C285</f>
        <v>0.42361111111111099</v>
      </c>
      <c r="C286" s="91" t="str">
        <f>Hoja1!D285</f>
        <v>HANAN AL LAL HAD DOUTI</v>
      </c>
      <c r="D286" s="91" t="str">
        <f>SERGIO!G285</f>
        <v>JOAQUÍN GARCÍA ANGOSTO</v>
      </c>
      <c r="E286" s="92" t="str">
        <f>Hoja1!E285</f>
        <v>LIMPIEZA MEDITERRÁNEO SERVICIOS Y APLICACIONES, S.L.</v>
      </c>
    </row>
    <row r="287" spans="1:5" ht="34.5" x14ac:dyDescent="0.25">
      <c r="A287" s="98">
        <f>Hoja1!B286</f>
        <v>44720</v>
      </c>
      <c r="B287" s="99">
        <f>Hoja1!C286</f>
        <v>0.39583333333333298</v>
      </c>
      <c r="C287" s="91" t="str">
        <f>Hoja1!D286</f>
        <v>ABDESLAM AL LAL MIMUN</v>
      </c>
      <c r="D287" s="91" t="str">
        <f>SERGIO!G286</f>
        <v>JOAQUÍN GARCÍA ANGOSTO</v>
      </c>
      <c r="E287" s="92" t="str">
        <f>Hoja1!E286</f>
        <v>AUDAY CHOCRÓN JAIME, DISPORT MELILLA, ALMACENES AUDAY, S.L. Y HOLDING MARINA DE MELILLA, S.L.</v>
      </c>
    </row>
    <row r="288" spans="1:5" x14ac:dyDescent="0.25">
      <c r="A288" s="98">
        <f>Hoja1!B287</f>
        <v>44713</v>
      </c>
      <c r="B288" s="99">
        <f>Hoja1!C287</f>
        <v>0.42708333333333298</v>
      </c>
      <c r="C288" s="91" t="str">
        <f>Hoja1!D287</f>
        <v>AHMIDA MOHAMED AMAR</v>
      </c>
      <c r="D288" s="91" t="str">
        <f>SERGIO!G287</f>
        <v>JOAQUÍN GARCÍA ANGOSTO</v>
      </c>
      <c r="E288" s="92" t="str">
        <f>Hoja1!E287</f>
        <v>ARQUISOCIAL, S.L.</v>
      </c>
    </row>
    <row r="289" spans="1:5" x14ac:dyDescent="0.25">
      <c r="A289" s="98">
        <f>Hoja1!B288</f>
        <v>44713</v>
      </c>
      <c r="B289" s="99">
        <f>Hoja1!C288</f>
        <v>0.43055555555555602</v>
      </c>
      <c r="C289" s="91" t="str">
        <f>Hoja1!D288</f>
        <v>BORJA CARMONA SAAVEDRA</v>
      </c>
      <c r="D289" s="91" t="str">
        <f>SERGIO!G288</f>
        <v>JOAQUÍN GARCÍA ANGOSTO</v>
      </c>
      <c r="E289" s="92" t="str">
        <f>Hoja1!E288</f>
        <v xml:space="preserve">EULEN SA </v>
      </c>
    </row>
    <row r="290" spans="1:5" ht="34.5" x14ac:dyDescent="0.25">
      <c r="A290" s="98">
        <f>Hoja1!B289</f>
        <v>44720</v>
      </c>
      <c r="B290" s="99">
        <f>Hoja1!C289</f>
        <v>0.39930555555555602</v>
      </c>
      <c r="C290" s="91" t="str">
        <f>Hoja1!D289</f>
        <v>EMILIO HERRERO NAVARRO</v>
      </c>
      <c r="D290" s="91" t="str">
        <f>SERGIO!G289</f>
        <v>JOAQUÍN GARCÍA ANGOSTO</v>
      </c>
      <c r="E290" s="92" t="str">
        <f>Hoja1!E289</f>
        <v>VALORIZA SERVICIOS MEDIOAMBIENTALES, S.A. Y MUTUA ACCIDENTES Y ENFERMEDADES PROFESIONALES ASEPEYO</v>
      </c>
    </row>
    <row r="291" spans="1:5" x14ac:dyDescent="0.25">
      <c r="A291" s="98">
        <f>Hoja1!B290</f>
        <v>44720</v>
      </c>
      <c r="B291" s="99">
        <f>Hoja1!C290</f>
        <v>0.40277777777777801</v>
      </c>
      <c r="C291" s="91" t="str">
        <f>Hoja1!D290</f>
        <v>LAAZIZ AGHMARI</v>
      </c>
      <c r="D291" s="91" t="str">
        <f>SERGIO!G290</f>
        <v>JOAQUÍN GARCÍA ANGOSTO</v>
      </c>
      <c r="E291" s="92" t="str">
        <f>Hoja1!E290</f>
        <v>BLUE JATIUCA ESPAÑA, S.L.</v>
      </c>
    </row>
    <row r="292" spans="1:5" x14ac:dyDescent="0.25">
      <c r="A292" s="98">
        <f>Hoja1!B291</f>
        <v>44720</v>
      </c>
      <c r="B292" s="99">
        <f>Hoja1!C291</f>
        <v>0.40625</v>
      </c>
      <c r="C292" s="91" t="str">
        <f>Hoja1!D291</f>
        <v>EL BACHIR BOUKHOUALI</v>
      </c>
      <c r="D292" s="91" t="str">
        <f>SERGIO!G291</f>
        <v>JOAQUÍN GARCÍA ANGOSTO</v>
      </c>
      <c r="E292" s="92" t="str">
        <f>Hoja1!E291</f>
        <v>SHERMAR MELILLA, S.L.U.</v>
      </c>
    </row>
    <row r="293" spans="1:5" ht="23" x14ac:dyDescent="0.25">
      <c r="A293" s="98">
        <f>Hoja1!B292</f>
        <v>44720</v>
      </c>
      <c r="B293" s="99">
        <f>Hoja1!C292</f>
        <v>0.40972222222222199</v>
      </c>
      <c r="C293" s="91" t="str">
        <f>Hoja1!D292</f>
        <v>DUNIA MOHAMED HAMEDI</v>
      </c>
      <c r="D293" s="91" t="str">
        <f>SERGIO!G292</f>
        <v>JOAQUÍN GARCÍA ANGOSTO</v>
      </c>
      <c r="E293" s="92" t="str">
        <f>Hoja1!E292</f>
        <v>HÉRCULES SERVICIOS GENERALES DE INTEGRACIÓN, S.L.</v>
      </c>
    </row>
    <row r="294" spans="1:5" x14ac:dyDescent="0.25">
      <c r="A294" s="98">
        <f>Hoja1!B293</f>
        <v>44720</v>
      </c>
      <c r="B294" s="99">
        <f>Hoja1!C293</f>
        <v>0.41319444444444398</v>
      </c>
      <c r="C294" s="91" t="str">
        <f>Hoja1!D293</f>
        <v>MHAMED CHARKI AZNOUN</v>
      </c>
      <c r="D294" s="91" t="str">
        <f>SERGIO!G293</f>
        <v>GEMA FERRER RODRÍGUEZ</v>
      </c>
      <c r="E294" s="92" t="str">
        <f>Hoja1!E293</f>
        <v>BALEARIA EUROLÍNEAS MARÍTIMAS, S.A.</v>
      </c>
    </row>
    <row r="295" spans="1:5" x14ac:dyDescent="0.25">
      <c r="A295" s="98">
        <f>Hoja1!B294</f>
        <v>44727</v>
      </c>
      <c r="B295" s="99">
        <f>Hoja1!C294</f>
        <v>0.39583333333333298</v>
      </c>
      <c r="C295" s="91" t="str">
        <f>Hoja1!D294</f>
        <v>OUALID EL KADAOUI ACHOUK</v>
      </c>
      <c r="D295" s="91" t="str">
        <f>SERGIO!G294</f>
        <v>DAVID MARÍN SÁNCHEZ</v>
      </c>
      <c r="E295" s="92" t="str">
        <f>Hoja1!E294</f>
        <v>DRISS AZOUAGHE ABDELLAH</v>
      </c>
    </row>
    <row r="296" spans="1:5" x14ac:dyDescent="0.25">
      <c r="A296" s="98">
        <f>Hoja1!B295</f>
        <v>44720</v>
      </c>
      <c r="B296" s="99">
        <f>Hoja1!C295</f>
        <v>0.41666666666666702</v>
      </c>
      <c r="C296" s="91" t="str">
        <f>Hoja1!D295</f>
        <v>BOUZIAN BENALI EL ATTAR</v>
      </c>
      <c r="D296" s="91" t="str">
        <f>SERGIO!G295</f>
        <v>FARID MOHAMED SAID</v>
      </c>
      <c r="E296" s="92" t="str">
        <f>Hoja1!E295</f>
        <v>NORAMIN MELILLA, S.L.</v>
      </c>
    </row>
    <row r="297" spans="1:5" x14ac:dyDescent="0.25">
      <c r="A297" s="98">
        <f>Hoja1!B296</f>
        <v>44727</v>
      </c>
      <c r="B297" s="99">
        <f>Hoja1!C296</f>
        <v>0.39930555555555602</v>
      </c>
      <c r="C297" s="91" t="str">
        <f>Hoja1!D296</f>
        <v>IMAN ABDEL LAH MOHAMED</v>
      </c>
      <c r="D297" s="91" t="str">
        <f>SERGIO!G296</f>
        <v>FARID MOHAMED SAID</v>
      </c>
      <c r="E297" s="92" t="str">
        <f>Hoja1!E296</f>
        <v>DIA RETAIL ESPAÑA, S.A.U.</v>
      </c>
    </row>
    <row r="298" spans="1:5" ht="23" x14ac:dyDescent="0.25">
      <c r="A298" s="98">
        <f>Hoja1!B297</f>
        <v>44727</v>
      </c>
      <c r="B298" s="99">
        <f>Hoja1!C297</f>
        <v>0.40277777777777801</v>
      </c>
      <c r="C298" s="91" t="str">
        <f>Hoja1!D297</f>
        <v>CHEYMA MOHAMEDI MOHAND</v>
      </c>
      <c r="D298" s="91" t="str">
        <f>SERGIO!G297</f>
        <v>FARID MOHAMED SAID</v>
      </c>
      <c r="E298" s="92" t="str">
        <f>Hoja1!E297</f>
        <v>SHALON 26 SL, ABRAHAM MORELY LEVY Y ARIEL MOISES OBADIA LEVY</v>
      </c>
    </row>
    <row r="299" spans="1:5" x14ac:dyDescent="0.25">
      <c r="A299" s="98">
        <f>Hoja1!B298</f>
        <v>44727</v>
      </c>
      <c r="B299" s="99">
        <f>Hoja1!C298</f>
        <v>0.40625</v>
      </c>
      <c r="C299" s="91" t="str">
        <f>Hoja1!D298</f>
        <v>DUNIA AHMED AMAR</v>
      </c>
      <c r="D299" s="91" t="str">
        <f>SERGIO!G298</f>
        <v>FARID MOHAMED SAID</v>
      </c>
      <c r="E299" s="92" t="str">
        <f>Hoja1!E298</f>
        <v>RADIO TELEVISIÓN MELILLA, S.A. Y YERAI DÍAZ ZBIDA</v>
      </c>
    </row>
    <row r="300" spans="1:5" x14ac:dyDescent="0.25">
      <c r="A300" s="98">
        <f>Hoja1!B299</f>
        <v>44727</v>
      </c>
      <c r="B300" s="99">
        <f>Hoja1!C299</f>
        <v>0.40972222222222199</v>
      </c>
      <c r="C300" s="91" t="str">
        <f>Hoja1!D299</f>
        <v>JAVIER GARCÍA ANGOSTO</v>
      </c>
      <c r="D300" s="91" t="str">
        <f>SERGIO!G299</f>
        <v>FARID MOHAMED SAID</v>
      </c>
      <c r="E300" s="92" t="str">
        <f>Hoja1!E299</f>
        <v>INFORMACIÓN MUNICIPAL INMUSA</v>
      </c>
    </row>
    <row r="301" spans="1:5" x14ac:dyDescent="0.25">
      <c r="A301" s="98">
        <f>Hoja1!B300</f>
        <v>44727</v>
      </c>
      <c r="B301" s="99">
        <f>Hoja1!C300</f>
        <v>0.41319444444444398</v>
      </c>
      <c r="C301" s="91" t="str">
        <f>Hoja1!D300</f>
        <v xml:space="preserve">DRISS ARRAISS </v>
      </c>
      <c r="D301" s="91" t="str">
        <f>SERGIO!G300</f>
        <v>JOSÉ MARÍA COBREROS RICO</v>
      </c>
      <c r="E301" s="92" t="str">
        <f>Hoja1!E300</f>
        <v>MARÍA JESÚS MILLÁN CEREÑO Y JESÚS BATALLA POO</v>
      </c>
    </row>
    <row r="302" spans="1:5" x14ac:dyDescent="0.25">
      <c r="A302" s="98">
        <f>Hoja1!B301</f>
        <v>44727</v>
      </c>
      <c r="B302" s="99">
        <f>Hoja1!C301</f>
        <v>0.41666666666666702</v>
      </c>
      <c r="C302" s="91" t="str">
        <f>Hoja1!D301</f>
        <v>SUFIAN MAANAN MOHAMED</v>
      </c>
      <c r="D302" s="91">
        <f>SERGIO!G301</f>
        <v>0</v>
      </c>
      <c r="E302" s="92" t="str">
        <f>Hoja1!E301</f>
        <v>SURESTE SEGURIDAD S.L.</v>
      </c>
    </row>
    <row r="303" spans="1:5" x14ac:dyDescent="0.25">
      <c r="A303" s="98">
        <f>Hoja1!B302</f>
        <v>44727</v>
      </c>
      <c r="B303" s="99">
        <f>Hoja1!C302</f>
        <v>0.42013888888888901</v>
      </c>
      <c r="C303" s="91" t="str">
        <f>Hoja1!D302</f>
        <v>BILAL AICHE EL BAHTATI</v>
      </c>
      <c r="D303" s="91">
        <f>SERGIO!G302</f>
        <v>0</v>
      </c>
      <c r="E303" s="92" t="str">
        <f>Hoja1!E302</f>
        <v>VALORIZA SERVICIOS MEDIOAMBIENTALES</v>
      </c>
    </row>
    <row r="304" spans="1:5" x14ac:dyDescent="0.25">
      <c r="A304" s="98">
        <f>Hoja1!B303</f>
        <v>44720</v>
      </c>
      <c r="B304" s="99">
        <f>Hoja1!C303</f>
        <v>0.42013888888888901</v>
      </c>
      <c r="C304" s="91" t="str">
        <f>Hoja1!D303</f>
        <v>ALFONSO LÓPEZ CORONIL</v>
      </c>
      <c r="D304" s="91">
        <f>SERGIO!G303</f>
        <v>0</v>
      </c>
      <c r="E304" s="92" t="str">
        <f>Hoja1!E303</f>
        <v>AD DENTAL MELILLA, S.L.</v>
      </c>
    </row>
    <row r="305" spans="1:5" x14ac:dyDescent="0.25">
      <c r="A305" s="98">
        <f>Hoja1!B304</f>
        <v>44727</v>
      </c>
      <c r="B305" s="99">
        <f>Hoja1!C304</f>
        <v>0.42361111111111099</v>
      </c>
      <c r="C305" s="91" t="str">
        <f>Hoja1!D304</f>
        <v>LILIANE AHMED MOHAMED</v>
      </c>
      <c r="D305" s="91">
        <f>SERGIO!G304</f>
        <v>0</v>
      </c>
      <c r="E305" s="92" t="str">
        <f>Hoja1!E304</f>
        <v>CARCAMOVIL SLU</v>
      </c>
    </row>
    <row r="306" spans="1:5" x14ac:dyDescent="0.25">
      <c r="A306" s="98">
        <f>Hoja1!B305</f>
        <v>44727</v>
      </c>
      <c r="B306" s="99">
        <f>Hoja1!C305</f>
        <v>0.42708333333333298</v>
      </c>
      <c r="C306" s="91" t="str">
        <f>Hoja1!D305</f>
        <v>ÁLVARO LÓPEZ QUESADA</v>
      </c>
      <c r="D306" s="91" t="str">
        <f>SERGIO!G305</f>
        <v>JOAQUÍN GARCÍA ANGOSTO</v>
      </c>
      <c r="E306" s="92" t="str">
        <f>Hoja1!E305</f>
        <v>ALVALOP SERVICIOS XXI, S.L.</v>
      </c>
    </row>
    <row r="307" spans="1:5" x14ac:dyDescent="0.25">
      <c r="A307" s="98">
        <f>Hoja1!B306</f>
        <v>44727</v>
      </c>
      <c r="B307" s="99">
        <f>Hoja1!C306</f>
        <v>0.43055555555555602</v>
      </c>
      <c r="C307" s="91" t="str">
        <f>Hoja1!D306</f>
        <v>LOUIZA ACHBANI</v>
      </c>
      <c r="D307" s="91">
        <f>SERGIO!G306</f>
        <v>0</v>
      </c>
      <c r="E307" s="92" t="str">
        <f>Hoja1!E306</f>
        <v>MULTISERVICIOS AEROPORTUARIOS</v>
      </c>
    </row>
    <row r="308" spans="1:5" ht="23" x14ac:dyDescent="0.25">
      <c r="A308" s="98">
        <f>Hoja1!B307</f>
        <v>44727</v>
      </c>
      <c r="B308" s="99">
        <f>Hoja1!C307</f>
        <v>0.43402777777777801</v>
      </c>
      <c r="C308" s="91" t="str">
        <f>Hoja1!D307</f>
        <v>SILVIA CRESPO MUSTAFA</v>
      </c>
      <c r="D308" s="91">
        <f>SERGIO!G307</f>
        <v>0</v>
      </c>
      <c r="E308" s="92" t="str">
        <f>Hoja1!E307</f>
        <v>HERCULES SERVICIOS GENERALES DE INTEGRACION SL</v>
      </c>
    </row>
    <row r="309" spans="1:5" ht="23" x14ac:dyDescent="0.25">
      <c r="A309" s="98">
        <f>Hoja1!B308</f>
        <v>44727</v>
      </c>
      <c r="B309" s="99">
        <f>Hoja1!C308</f>
        <v>0.4375</v>
      </c>
      <c r="C309" s="91" t="str">
        <f>Hoja1!D308</f>
        <v>MARI CARMEN AGUILAR REY</v>
      </c>
      <c r="D309" s="91">
        <f>SERGIO!G308</f>
        <v>0</v>
      </c>
      <c r="E309" s="92" t="str">
        <f>Hoja1!E308</f>
        <v>HERCULES SERVICIOS GENERALES DE INTEGRACION SL</v>
      </c>
    </row>
    <row r="310" spans="1:5" x14ac:dyDescent="0.25">
      <c r="A310" s="98">
        <f>Hoja1!B309</f>
        <v>44727</v>
      </c>
      <c r="B310" s="99">
        <f>Hoja1!C309</f>
        <v>0.44097222222222199</v>
      </c>
      <c r="C310" s="91" t="str">
        <f>Hoja1!D309</f>
        <v>MARIA DOLORES SEDANO PEREZ</v>
      </c>
      <c r="D310" s="91">
        <f>SERGIO!G309</f>
        <v>0</v>
      </c>
      <c r="E310" s="92" t="str">
        <f>Hoja1!E309</f>
        <v>INFORMACION MUNICIPAL MELILLA SA (INMUSA)</v>
      </c>
    </row>
    <row r="311" spans="1:5" x14ac:dyDescent="0.25">
      <c r="A311" s="98">
        <f>Hoja1!B310</f>
        <v>44734</v>
      </c>
      <c r="B311" s="99">
        <f>Hoja1!C310</f>
        <v>0.39583333333333298</v>
      </c>
      <c r="C311" s="91" t="str">
        <f>Hoja1!D310</f>
        <v>FATI MHAMED AHMED</v>
      </c>
      <c r="D311" s="91">
        <f>SERGIO!G310</f>
        <v>0</v>
      </c>
      <c r="E311" s="92" t="str">
        <f>Hoja1!E310</f>
        <v>ISMAEL MOHAMEDI MOHAMED</v>
      </c>
    </row>
    <row r="312" spans="1:5" x14ac:dyDescent="0.25">
      <c r="A312" s="98">
        <f>Hoja1!B311</f>
        <v>44734</v>
      </c>
      <c r="B312" s="99">
        <f>Hoja1!C311</f>
        <v>0.39930555555555602</v>
      </c>
      <c r="C312" s="91" t="str">
        <f>Hoja1!D311</f>
        <v>BOUZIAN BENALI</v>
      </c>
      <c r="D312" s="91">
        <f>SERGIO!G311</f>
        <v>0</v>
      </c>
      <c r="E312" s="92" t="str">
        <f>Hoja1!E311</f>
        <v>NORAMIN MELILLA, S.L.</v>
      </c>
    </row>
    <row r="313" spans="1:5" x14ac:dyDescent="0.25">
      <c r="A313" s="98">
        <f>Hoja1!B312</f>
        <v>44734</v>
      </c>
      <c r="B313" s="99">
        <f>Hoja1!C312</f>
        <v>0.40277777777777801</v>
      </c>
      <c r="C313" s="91" t="str">
        <f>Hoja1!D312</f>
        <v>MARTA CASTELLANO JONES</v>
      </c>
      <c r="D313" s="91">
        <f>SERGIO!G312</f>
        <v>0</v>
      </c>
      <c r="E313" s="92" t="str">
        <f>Hoja1!E312</f>
        <v>RECREATIVOS FRANCO DIGITAL, S.A.U.</v>
      </c>
    </row>
    <row r="314" spans="1:5" ht="23" x14ac:dyDescent="0.25">
      <c r="A314" s="98">
        <f>Hoja1!B313</f>
        <v>44734</v>
      </c>
      <c r="B314" s="99">
        <f>Hoja1!C313</f>
        <v>0.40625</v>
      </c>
      <c r="C314" s="91" t="str">
        <f>Hoja1!D313</f>
        <v>HICHAM KADDOURI</v>
      </c>
      <c r="D314" s="91" t="str">
        <f>SERGIO!G313</f>
        <v>DANIEL TEBAR CARMONA</v>
      </c>
      <c r="E314" s="92" t="str">
        <f>Hoja1!E313</f>
        <v>YUBEY TRADING, S.L., TRANSPORTES INTER ANTPAMA, S.L. Y GENERIC TRADING, S.L.</v>
      </c>
    </row>
    <row r="315" spans="1:5" x14ac:dyDescent="0.25">
      <c r="A315" s="98">
        <f>Hoja1!B314</f>
        <v>44734</v>
      </c>
      <c r="B315" s="99">
        <f>Hoja1!C314</f>
        <v>0.40972222222222199</v>
      </c>
      <c r="C315" s="91" t="str">
        <f>Hoja1!D314</f>
        <v>SAIDA BOUAALAM</v>
      </c>
      <c r="D315" s="91" t="str">
        <f>SERGIO!G314</f>
        <v>DANIEL TEBAR CARMONA</v>
      </c>
      <c r="E315" s="92" t="str">
        <f>Hoja1!E314</f>
        <v>ISABEL MARÍA GARCÍA LÓPEZ</v>
      </c>
    </row>
    <row r="316" spans="1:5" x14ac:dyDescent="0.25">
      <c r="A316" s="98">
        <f>Hoja1!B315</f>
        <v>44734</v>
      </c>
      <c r="B316" s="99">
        <f>Hoja1!C315</f>
        <v>0.41319444444444398</v>
      </c>
      <c r="C316" s="91" t="str">
        <f>Hoja1!D315</f>
        <v>IASSER DRIS ABDELKADER</v>
      </c>
      <c r="D316" s="91" t="str">
        <f>SERGIO!G315</f>
        <v>DANIEL TEBAR CARMONA</v>
      </c>
      <c r="E316" s="92" t="str">
        <f>Hoja1!E315</f>
        <v>VALORIZA SERVICIOS MEDIOAMBIENTALES SA</v>
      </c>
    </row>
    <row r="317" spans="1:5" x14ac:dyDescent="0.25">
      <c r="A317" s="98">
        <f>Hoja1!B316</f>
        <v>44734</v>
      </c>
      <c r="B317" s="99">
        <f>Hoja1!C316</f>
        <v>0.41666666666666702</v>
      </c>
      <c r="C317" s="91" t="str">
        <f>Hoja1!D316</f>
        <v>BORJA CARMONA SAAVEDRA</v>
      </c>
      <c r="D317" s="91" t="str">
        <f>SERGIO!G316</f>
        <v>DANIEL TEBAR CARMONA</v>
      </c>
      <c r="E317" s="92" t="str">
        <f>Hoja1!E316</f>
        <v>EULEN, S.A.</v>
      </c>
    </row>
    <row r="318" spans="1:5" x14ac:dyDescent="0.25">
      <c r="A318" s="98">
        <f>Hoja1!B317</f>
        <v>44734</v>
      </c>
      <c r="B318" s="99">
        <f>Hoja1!C317</f>
        <v>0.42013888888888901</v>
      </c>
      <c r="C318" s="91" t="str">
        <f>Hoja1!D317</f>
        <v>AHMED SAIDI</v>
      </c>
      <c r="D318" s="91" t="str">
        <f>SERGIO!G317</f>
        <v>SOL ÁLVAREZ-BUYLLA MARTÍNEZ-COVISA</v>
      </c>
      <c r="E318" s="92" t="str">
        <f>Hoja1!E317</f>
        <v>EL GURUGÚ, S.L.</v>
      </c>
    </row>
    <row r="319" spans="1:5" x14ac:dyDescent="0.25">
      <c r="A319" s="98">
        <f>Hoja1!B318</f>
        <v>44734</v>
      </c>
      <c r="B319" s="99" t="str">
        <f>Hoja1!C318</f>
        <v>09:25 CAMBIO DE HORA POR LAS 10:10</v>
      </c>
      <c r="C319" s="91" t="str">
        <f>Hoja1!D318</f>
        <v>OUALID EL KADAOUI ACHOUK</v>
      </c>
      <c r="D319" s="91" t="str">
        <f>SERGIO!G318</f>
        <v>IGNACIO ÁLVAREZ-BUYLLA FERNÁNDEZ</v>
      </c>
      <c r="E319" s="92" t="str">
        <f>Hoja1!E318</f>
        <v>DRISS AZOUAGHE ABDELLAH</v>
      </c>
    </row>
    <row r="320" spans="1:5" x14ac:dyDescent="0.25">
      <c r="A320" s="98">
        <f>Hoja1!B319</f>
        <v>44734</v>
      </c>
      <c r="B320" s="99">
        <f>Hoja1!C319</f>
        <v>0.42708333333333298</v>
      </c>
      <c r="C320" s="91" t="str">
        <f>Hoja1!D319</f>
        <v xml:space="preserve">RACHID HANAFI OUCHEN </v>
      </c>
      <c r="D320" s="91" t="str">
        <f>SERGIO!G319</f>
        <v>DAVID MARÍN SÁNCHEZ</v>
      </c>
      <c r="E320" s="92" t="str">
        <f>Hoja1!E319</f>
        <v>GLOBAL LEPAGUE, S.L.U.</v>
      </c>
    </row>
    <row r="321" spans="1:5" ht="23" x14ac:dyDescent="0.25">
      <c r="A321" s="98">
        <f>Hoja1!B320</f>
        <v>44741</v>
      </c>
      <c r="B321" s="99">
        <f>Hoja1!C320</f>
        <v>0.39583333333333298</v>
      </c>
      <c r="C321" s="91" t="str">
        <f>Hoja1!D320</f>
        <v>JESÚS GÁLVEZ GARCÍA</v>
      </c>
      <c r="D321" s="91" t="str">
        <f>SERGIO!G320</f>
        <v>JOAQUÍN GARCÍA ANGOSTO</v>
      </c>
      <c r="E321" s="92" t="str">
        <f>Hoja1!E320</f>
        <v>UTE EAS (EYSA, S.A.U., SETEX APARKI, S.A. Y ACE PARKING MANAGEMENT INC.)</v>
      </c>
    </row>
    <row r="322" spans="1:5" ht="23" x14ac:dyDescent="0.25">
      <c r="A322" s="98">
        <f>Hoja1!B321</f>
        <v>44741</v>
      </c>
      <c r="B322" s="99">
        <f>Hoja1!C321</f>
        <v>0.39930555555555602</v>
      </c>
      <c r="C322" s="91" t="str">
        <f>Hoja1!D321</f>
        <v>JESÚS GÁLVEZ GARCÍA</v>
      </c>
      <c r="D322" s="91" t="str">
        <f>SERGIO!G321</f>
        <v>JOAQUÍN GARCÍA ANGOSTO</v>
      </c>
      <c r="E322" s="92" t="str">
        <f>Hoja1!E321</f>
        <v>UTE EAS (EYSA, S.A.U., SETEX APARKI, S.A. Y ACE PARKING MANAGEMENT INC.)</v>
      </c>
    </row>
    <row r="323" spans="1:5" ht="23" x14ac:dyDescent="0.25">
      <c r="A323" s="98">
        <f>Hoja1!B322</f>
        <v>44741</v>
      </c>
      <c r="B323" s="99">
        <f>Hoja1!C322</f>
        <v>0.40277777777777801</v>
      </c>
      <c r="C323" s="91" t="str">
        <f>Hoja1!D322</f>
        <v>ÁNGELES JIMÉNEZ HERNÁNDEZ</v>
      </c>
      <c r="D323" s="91" t="str">
        <f>SERGIO!G322</f>
        <v>JOSÉ ALONSO SÁNCHEZ</v>
      </c>
      <c r="E323" s="92" t="str">
        <f>Hoja1!E322</f>
        <v>SOCIEDAD ESTATAL CORREOS Y TELÉGRAFOS, S.A. Y ROSA MARÍA ESTEBAN CALVO</v>
      </c>
    </row>
    <row r="324" spans="1:5" x14ac:dyDescent="0.25">
      <c r="A324" s="98">
        <f>Hoja1!B323</f>
        <v>44741</v>
      </c>
      <c r="B324" s="99">
        <f>Hoja1!C323</f>
        <v>0.40625</v>
      </c>
      <c r="C324" s="91" t="str">
        <f>Hoja1!D323</f>
        <v>SAMIR MOHAMED CHAIB</v>
      </c>
      <c r="D324" s="91" t="str">
        <f>SERGIO!G323</f>
        <v>JOAQUÍN PEDRERO CEBALLOS</v>
      </c>
      <c r="E324" s="92" t="str">
        <f>Hoja1!E323</f>
        <v>VALORIZA SERVICIOS MEDIOAMBIENTALES SA</v>
      </c>
    </row>
    <row r="325" spans="1:5" x14ac:dyDescent="0.25">
      <c r="A325" s="98">
        <f>Hoja1!B324</f>
        <v>44741</v>
      </c>
      <c r="B325" s="99">
        <f>Hoja1!C324</f>
        <v>0.40972222222222199</v>
      </c>
      <c r="C325" s="91" t="str">
        <f>Hoja1!D324</f>
        <v>FRANCISCO J GARCÍA ALONSO</v>
      </c>
      <c r="D325" s="91">
        <f>SERGIO!G324</f>
        <v>0</v>
      </c>
      <c r="E325" s="92" t="str">
        <f>Hoja1!E324</f>
        <v>VALORIZA SERVICIOS MEDIOAMBIENTALES SA</v>
      </c>
    </row>
    <row r="326" spans="1:5" x14ac:dyDescent="0.25">
      <c r="A326" s="98">
        <f>Hoja1!B325</f>
        <v>44741</v>
      </c>
      <c r="B326" s="99">
        <f>Hoja1!C325</f>
        <v>0.41319444444444398</v>
      </c>
      <c r="C326" s="91" t="str">
        <f>Hoja1!D325</f>
        <v>FATIMA MALHI</v>
      </c>
      <c r="D326" s="91" t="str">
        <f>SERGIO!G325</f>
        <v>JUAN CARLOS FERNÁNDEZ DE PUELLES</v>
      </c>
      <c r="E326" s="92" t="str">
        <f>Hoja1!E325</f>
        <v>VALORIZA SERVICIOS MEDIOAMBIENTALES</v>
      </c>
    </row>
    <row r="327" spans="1:5" x14ac:dyDescent="0.25">
      <c r="A327" s="98">
        <f>Hoja1!B326</f>
        <v>44741</v>
      </c>
      <c r="B327" s="99">
        <f>Hoja1!C326</f>
        <v>0.41666666666666702</v>
      </c>
      <c r="C327" s="91" t="str">
        <f>Hoja1!D326</f>
        <v>KHALID AYAD HAMED</v>
      </c>
      <c r="D327" s="91" t="str">
        <f>SERGIO!G326</f>
        <v>DAVID MARÍN SÁNCHEZ</v>
      </c>
      <c r="E327" s="92" t="str">
        <f>Hoja1!E326</f>
        <v>VALORIZA SERVICIOS MEDIOAMBIENTALES</v>
      </c>
    </row>
    <row r="328" spans="1:5" x14ac:dyDescent="0.25">
      <c r="A328" s="98">
        <f>Hoja1!B327</f>
        <v>44741</v>
      </c>
      <c r="B328" s="99">
        <f>Hoja1!C327</f>
        <v>0.42013888888888901</v>
      </c>
      <c r="C328" s="91" t="str">
        <f>Hoja1!D327</f>
        <v>ABDELKADER MEKNASSI</v>
      </c>
      <c r="D328" s="91" t="str">
        <f>SERGIO!G327</f>
        <v>SALOMÓN SERFATY BITTAN</v>
      </c>
      <c r="E328" s="92" t="str">
        <f>Hoja1!E327</f>
        <v>VALORIZA SERVICIOS MEDIOAMBIENTALES</v>
      </c>
    </row>
    <row r="329" spans="1:5" x14ac:dyDescent="0.25">
      <c r="A329" s="98">
        <f>Hoja1!B328</f>
        <v>44741</v>
      </c>
      <c r="B329" s="99">
        <f>Hoja1!C328</f>
        <v>0.42361111111111099</v>
      </c>
      <c r="C329" s="91" t="str">
        <f>Hoja1!D328</f>
        <v>MIMOUN AMAR AL LAL</v>
      </c>
      <c r="D329" s="91">
        <f>SERGIO!G328</f>
        <v>0</v>
      </c>
      <c r="E329" s="92" t="str">
        <f>Hoja1!E328</f>
        <v>VALORIZA SERVICIOS MEDIOAMBIENTALES</v>
      </c>
    </row>
    <row r="330" spans="1:5" x14ac:dyDescent="0.25">
      <c r="A330" s="98">
        <f>Hoja1!B329</f>
        <v>44741</v>
      </c>
      <c r="B330" s="99">
        <f>Hoja1!C329</f>
        <v>0.42708333333333298</v>
      </c>
      <c r="C330" s="91" t="str">
        <f>Hoja1!D329</f>
        <v>MOHAMED MOHAND LAHCEN</v>
      </c>
      <c r="D330" s="91">
        <f>SERGIO!G329</f>
        <v>0</v>
      </c>
      <c r="E330" s="92" t="str">
        <f>Hoja1!E329</f>
        <v>VALORIZA SERVICIOS MEDIOAMBIENTALES</v>
      </c>
    </row>
    <row r="331" spans="1:5" x14ac:dyDescent="0.25">
      <c r="A331" s="98">
        <f>Hoja1!B330</f>
        <v>44741</v>
      </c>
      <c r="B331" s="99">
        <f>Hoja1!C330</f>
        <v>0.43055555555555602</v>
      </c>
      <c r="C331" s="91" t="str">
        <f>Hoja1!D330</f>
        <v>RACHID MOHAMED MOHAND</v>
      </c>
      <c r="D331" s="91" t="str">
        <f>SERGIO!G330</f>
        <v>DAVID MARÍN SÁNCHEZ</v>
      </c>
      <c r="E331" s="92" t="str">
        <f>Hoja1!E330</f>
        <v>VALORIZA SERVICIOS MEDIOAMBIENTALES</v>
      </c>
    </row>
    <row r="332" spans="1:5" x14ac:dyDescent="0.25">
      <c r="A332" s="98">
        <f>Hoja1!B331</f>
        <v>44741</v>
      </c>
      <c r="B332" s="99">
        <f>Hoja1!C331</f>
        <v>0.43402777777777801</v>
      </c>
      <c r="C332" s="91" t="str">
        <f>Hoja1!D331</f>
        <v>MUSTAPHA AMJAHAD</v>
      </c>
      <c r="D332" s="91" t="str">
        <f>SERGIO!G331</f>
        <v>DANIEL TEBAR CARMONA</v>
      </c>
      <c r="E332" s="92" t="str">
        <f>Hoja1!E331</f>
        <v>VALORIZA SERVICIOS MEDIOAMBIENTALES</v>
      </c>
    </row>
    <row r="333" spans="1:5" x14ac:dyDescent="0.25">
      <c r="A333" s="98">
        <f>Hoja1!B332</f>
        <v>44741</v>
      </c>
      <c r="B333" s="99">
        <f>Hoja1!C332</f>
        <v>0.4375</v>
      </c>
      <c r="C333" s="91" t="str">
        <f>Hoja1!D332</f>
        <v>ABDESLAM EL MJDOUBI ASSALHI</v>
      </c>
      <c r="D333" s="91" t="str">
        <f>SERGIO!G332</f>
        <v>DANIEL TEBAR CARMONA</v>
      </c>
      <c r="E333" s="92" t="str">
        <f>Hoja1!E332</f>
        <v>EMPRESA DE TRANSFORMACIÓN AGRARIA, TRAGSA</v>
      </c>
    </row>
    <row r="334" spans="1:5" x14ac:dyDescent="0.25">
      <c r="A334" s="98">
        <f>Hoja1!B333</f>
        <v>44741</v>
      </c>
      <c r="B334" s="99">
        <f>Hoja1!C333</f>
        <v>0.44097222222222199</v>
      </c>
      <c r="C334" s="91" t="str">
        <f>Hoja1!D333</f>
        <v>ABDESLAM EL MJDOUBI ASSALHI</v>
      </c>
      <c r="D334" s="91" t="str">
        <f>SERGIO!G333</f>
        <v>DANIEL TEBAR CARMONA</v>
      </c>
      <c r="E334" s="92" t="str">
        <f>Hoja1!E333</f>
        <v>EMPRESA DE TRANSFORMACIÓN AGRARIA, TRAGSA</v>
      </c>
    </row>
    <row r="335" spans="1:5" ht="23" x14ac:dyDescent="0.25">
      <c r="A335" s="98">
        <f>Hoja1!B334</f>
        <v>44741</v>
      </c>
      <c r="B335" s="99">
        <f>Hoja1!C334</f>
        <v>0.44444444444444398</v>
      </c>
      <c r="C335" s="91" t="str">
        <f>Hoja1!D334</f>
        <v>LAHBIB BOUKICHOU MIMOUN</v>
      </c>
      <c r="D335" s="91" t="str">
        <f>SERGIO!G334</f>
        <v>DANIEL TEBAR CARMONA</v>
      </c>
      <c r="E335" s="92" t="str">
        <f>Hoja1!E334</f>
        <v>YUREY TRADING, S.L., TRANSPORTES INTER ANTPAMA, S.L. Y GENERIC TRADING, S.L.</v>
      </c>
    </row>
    <row r="336" spans="1:5" ht="23" x14ac:dyDescent="0.25">
      <c r="A336" s="98">
        <f>Hoja1!B335</f>
        <v>44741</v>
      </c>
      <c r="B336" s="99">
        <f>Hoja1!C335</f>
        <v>0.44791666666666702</v>
      </c>
      <c r="C336" s="91" t="str">
        <f>Hoja1!D335</f>
        <v>FRANCISCO BURGOS CONDE</v>
      </c>
      <c r="D336" s="91" t="str">
        <f>SERGIO!G335</f>
        <v>FARID MOHAMED SAID</v>
      </c>
      <c r="E336" s="92" t="str">
        <f>Hoja1!E335</f>
        <v>PROSEGUR SOLUCIONES INTEGRALES SEGURIDAD Y EULEN SEGURIDAD, S.A.</v>
      </c>
    </row>
    <row r="337" spans="1:5" x14ac:dyDescent="0.25">
      <c r="A337" s="98">
        <f>Hoja1!B336</f>
        <v>44741</v>
      </c>
      <c r="B337" s="99">
        <f>Hoja1!C336</f>
        <v>0.45138888888888901</v>
      </c>
      <c r="C337" s="91" t="str">
        <f>Hoja1!D336</f>
        <v>JUAN CARLOS CASTRO HERNÁNDEZ</v>
      </c>
      <c r="D337" s="91" t="str">
        <f>SERGIO!G336</f>
        <v>FARID MOHAMED SAID</v>
      </c>
      <c r="E337" s="92" t="str">
        <f>Hoja1!E336</f>
        <v>PUBLIGRAFIC MELILLA, S.L.</v>
      </c>
    </row>
    <row r="338" spans="1:5" x14ac:dyDescent="0.25">
      <c r="A338" s="98">
        <f>Hoja1!B337</f>
        <v>44741</v>
      </c>
      <c r="B338" s="99">
        <f>Hoja1!C337</f>
        <v>0.45486111111111099</v>
      </c>
      <c r="C338" s="91" t="str">
        <f>Hoja1!D337</f>
        <v>JUAN CARLOS CASTRO HERNÁNDEZ</v>
      </c>
      <c r="D338" s="91" t="str">
        <f>SERGIO!G337</f>
        <v>PEDRO JAVIER CAMARERO RODRÍGUEZ</v>
      </c>
      <c r="E338" s="92" t="str">
        <f>Hoja1!E337</f>
        <v>PUBLIGRAFIC MELILLA, S.L.</v>
      </c>
    </row>
    <row r="339" spans="1:5" x14ac:dyDescent="0.25">
      <c r="A339" s="98">
        <f>Hoja1!B338</f>
        <v>44754</v>
      </c>
      <c r="B339" s="99">
        <f>Hoja1!C338</f>
        <v>0.39583333333333298</v>
      </c>
      <c r="C339" s="91" t="str">
        <f>Hoja1!D338</f>
        <v>LAURA MARÍA MURIANA MÁRQUEZ</v>
      </c>
      <c r="D339" s="91" t="str">
        <f>SERGIO!G338</f>
        <v>FARID MOHAMED SAID</v>
      </c>
      <c r="E339" s="92" t="str">
        <f>Hoja1!E338</f>
        <v>MELILLA PUERTO, S.A.</v>
      </c>
    </row>
    <row r="340" spans="1:5" x14ac:dyDescent="0.25">
      <c r="A340" s="98">
        <f>Hoja1!B339</f>
        <v>44754</v>
      </c>
      <c r="B340" s="99">
        <f>Hoja1!C339</f>
        <v>0.39930555555555602</v>
      </c>
      <c r="C340" s="91" t="str">
        <f>Hoja1!D339</f>
        <v>BRAHIM EL FOUTOUHI OUHAJJI (DESISTIMIENTO)</v>
      </c>
      <c r="D340" s="91" t="str">
        <f>SERGIO!G339</f>
        <v>ABDELMAYID SAID DRIS</v>
      </c>
      <c r="E340" s="92" t="str">
        <f>Hoja1!E339</f>
        <v>VALORIZA SERVICIOS MEDIOAMBIENTALES</v>
      </c>
    </row>
    <row r="341" spans="1:5" x14ac:dyDescent="0.25">
      <c r="A341" s="98">
        <f>Hoja1!B340</f>
        <v>44754</v>
      </c>
      <c r="B341" s="99">
        <f>Hoja1!C340</f>
        <v>0.40277777777777801</v>
      </c>
      <c r="C341" s="91" t="str">
        <f>Hoja1!D340</f>
        <v>MIMON MOHATAR MOHAMED</v>
      </c>
      <c r="D341" s="91" t="str">
        <f>SERGIO!G340</f>
        <v>JOAQUÍN PEDRERO CEBALLOS</v>
      </c>
      <c r="E341" s="92" t="str">
        <f>Hoja1!E340</f>
        <v>VALORIZA SERVICIOS MEDIOAMBIENTALES</v>
      </c>
    </row>
    <row r="342" spans="1:5" x14ac:dyDescent="0.25">
      <c r="A342" s="98">
        <f>Hoja1!B341</f>
        <v>44754</v>
      </c>
      <c r="B342" s="99">
        <f>Hoja1!C341</f>
        <v>0.40625</v>
      </c>
      <c r="C342" s="91" t="str">
        <f>Hoja1!D341</f>
        <v>FRANCISCO JOSÉ ALIAGA FERNÁNDEZ</v>
      </c>
      <c r="D342" s="91" t="str">
        <f>SERGIO!G341</f>
        <v>JOAQUÍN GARCÍA ANGOSTO</v>
      </c>
      <c r="E342" s="92" t="str">
        <f>Hoja1!E341</f>
        <v>CARMELO CALDERÓN MÁRQUEZ</v>
      </c>
    </row>
    <row r="343" spans="1:5" x14ac:dyDescent="0.25">
      <c r="A343" s="98">
        <f>Hoja1!B342</f>
        <v>44754</v>
      </c>
      <c r="B343" s="99">
        <f>Hoja1!C342</f>
        <v>0.40972222222222199</v>
      </c>
      <c r="C343" s="91" t="str">
        <f>Hoja1!D342</f>
        <v>MINA BOUZIDI</v>
      </c>
      <c r="D343" s="91" t="str">
        <f>SERGIO!G342</f>
        <v>JOAQUÍN PEDRERO CEBALLOS</v>
      </c>
      <c r="E343" s="92" t="str">
        <f>Hoja1!E342</f>
        <v>CARMEN TUR CAMPS</v>
      </c>
    </row>
    <row r="344" spans="1:5" x14ac:dyDescent="0.25">
      <c r="A344" s="98">
        <f>Hoja1!B343</f>
        <v>44754</v>
      </c>
      <c r="B344" s="99">
        <f>Hoja1!C343</f>
        <v>0.41319444444444398</v>
      </c>
      <c r="C344" s="91" t="str">
        <f>Hoja1!D343</f>
        <v>LILIANE MALLUG HAMED</v>
      </c>
      <c r="D344" s="91" t="str">
        <f>SERGIO!G343</f>
        <v>AIA MOHAMED EL FAHMI</v>
      </c>
      <c r="E344" s="92" t="str">
        <f>Hoja1!E343</f>
        <v>GAMAL SALAH AMARADEM Y ZOHER SALAH AMARADEM</v>
      </c>
    </row>
    <row r="345" spans="1:5" x14ac:dyDescent="0.25">
      <c r="A345" s="98">
        <f>Hoja1!B344</f>
        <v>44754</v>
      </c>
      <c r="B345" s="99">
        <f>Hoja1!C344</f>
        <v>0.41666666666666702</v>
      </c>
      <c r="C345" s="91" t="str">
        <f>Hoja1!D344</f>
        <v>MOHAMED HAMMU HAMED</v>
      </c>
      <c r="D345" s="91" t="str">
        <f>SERGIO!G344</f>
        <v>JOAQUÍN GARCÍA ANGOSTO</v>
      </c>
      <c r="E345" s="92" t="str">
        <f>Hoja1!E344</f>
        <v>BURGER KING SPAIN, S.L.</v>
      </c>
    </row>
    <row r="346" spans="1:5" x14ac:dyDescent="0.25">
      <c r="A346" s="98">
        <f>Hoja1!B345</f>
        <v>44754</v>
      </c>
      <c r="B346" s="99">
        <f>Hoja1!C345</f>
        <v>0.42013888888888901</v>
      </c>
      <c r="C346" s="91" t="str">
        <f>Hoja1!D345</f>
        <v>YUSEF TAHIRI EL KAHLAOUI</v>
      </c>
      <c r="D346" s="91" t="str">
        <f>SERGIO!G345</f>
        <v>JOAQUÍN GARCÍA ANGOSTO</v>
      </c>
      <c r="E346" s="92" t="str">
        <f>Hoja1!E345</f>
        <v>EULEN, S.A. Y LUNAMAR BOUARFA SAID, S.L.</v>
      </c>
    </row>
    <row r="347" spans="1:5" x14ac:dyDescent="0.25">
      <c r="A347" s="98">
        <f>Hoja1!B346</f>
        <v>44754</v>
      </c>
      <c r="B347" s="99">
        <f>Hoja1!C346</f>
        <v>0.42361111111111099</v>
      </c>
      <c r="C347" s="91" t="str">
        <f>Hoja1!D346</f>
        <v>JUAN CARLOS CASTRO HERNÁNDEZ</v>
      </c>
      <c r="D347" s="91" t="str">
        <f>SERGIO!G346</f>
        <v>JOSÉ ALFREDO VERDUGO LÓPEZ-BLANCO</v>
      </c>
      <c r="E347" s="92" t="str">
        <f>Hoja1!E346</f>
        <v>PUBLIGRAFIC MELILLA, S.L.</v>
      </c>
    </row>
    <row r="348" spans="1:5" x14ac:dyDescent="0.25">
      <c r="A348" s="98">
        <f>Hoja1!B347</f>
        <v>44741</v>
      </c>
      <c r="B348" s="99">
        <f>Hoja1!C347</f>
        <v>0.45833333333333298</v>
      </c>
      <c r="C348" s="91" t="str">
        <f>Hoja1!D347</f>
        <v xml:space="preserve">RACHID HANAFI OUCHEN </v>
      </c>
      <c r="D348" s="91" t="str">
        <f>SERGIO!G347</f>
        <v>JOAQUÍN PEDRERO CEBALLOS</v>
      </c>
      <c r="E348" s="92" t="str">
        <f>Hoja1!E347</f>
        <v>GLOBAL LEPAGE, S.L.U.</v>
      </c>
    </row>
    <row r="349" spans="1:5" x14ac:dyDescent="0.25">
      <c r="A349" s="98">
        <f>Hoja1!B348</f>
        <v>44754</v>
      </c>
      <c r="B349" s="99">
        <f>Hoja1!C348</f>
        <v>0.42708333333333298</v>
      </c>
      <c r="C349" s="91" t="str">
        <f>Hoja1!D348</f>
        <v>SOLIMAN HAMETE ABDEL LAH</v>
      </c>
      <c r="D349" s="91" t="str">
        <f>SERGIO!G348</f>
        <v>JOAQUÍN GARCÍA ANGOSTO</v>
      </c>
      <c r="E349" s="92" t="str">
        <f>Hoja1!E348</f>
        <v>VALORIZA SERVICIOS MEDIOAMBIENTALES</v>
      </c>
    </row>
    <row r="350" spans="1:5" x14ac:dyDescent="0.25">
      <c r="A350" s="98">
        <f>Hoja1!B349</f>
        <v>44754</v>
      </c>
      <c r="B350" s="99">
        <f>Hoja1!C349</f>
        <v>0.43055555555555602</v>
      </c>
      <c r="C350" s="91" t="str">
        <f>Hoja1!D349</f>
        <v>MARTA CASTELLANO JONES</v>
      </c>
      <c r="D350" s="91" t="str">
        <f>SERGIO!G349</f>
        <v>JOAQUÍN PEDRERO CEBALLOS</v>
      </c>
      <c r="E350" s="92" t="str">
        <f>Hoja1!E349</f>
        <v>RECREATIVOS FRANCO DIGITAL, S,.A.U.</v>
      </c>
    </row>
    <row r="351" spans="1:5" x14ac:dyDescent="0.25">
      <c r="A351" s="98">
        <f>Hoja1!B350</f>
        <v>44754</v>
      </c>
      <c r="B351" s="99">
        <f>Hoja1!C350</f>
        <v>0.43402777777777801</v>
      </c>
      <c r="C351" s="91" t="str">
        <f>Hoja1!D350</f>
        <v>VANESA CUENCA VEGA</v>
      </c>
      <c r="D351" s="91" t="str">
        <f>SERGIO!G350</f>
        <v>JOAQUÍN PEDRERO CEBALLOS</v>
      </c>
      <c r="E351" s="92" t="str">
        <f>Hoja1!E350</f>
        <v>RENVERSE, S.L.</v>
      </c>
    </row>
    <row r="352" spans="1:5" x14ac:dyDescent="0.25">
      <c r="A352" s="98">
        <f>Hoja1!B351</f>
        <v>44754</v>
      </c>
      <c r="B352" s="99">
        <f>Hoja1!C351</f>
        <v>0.4375</v>
      </c>
      <c r="C352" s="91" t="str">
        <f>Hoja1!D351</f>
        <v>HOSSEIN MOHAMED MIMON</v>
      </c>
      <c r="D352" s="91" t="str">
        <f>SERGIO!G351</f>
        <v>JOAQUÍN PEDRERO CEBALLOS</v>
      </c>
      <c r="E352" s="92" t="str">
        <f>Hoja1!E351</f>
        <v>EULEN, S.A.</v>
      </c>
    </row>
    <row r="353" spans="1:5" x14ac:dyDescent="0.25">
      <c r="A353" s="98">
        <f>Hoja1!B352</f>
        <v>44754</v>
      </c>
      <c r="B353" s="99">
        <f>Hoja1!C352</f>
        <v>0.44097222222222199</v>
      </c>
      <c r="C353" s="91" t="str">
        <f>Hoja1!D352</f>
        <v>BOUSELHAM BTIOUT</v>
      </c>
      <c r="D353" s="91" t="str">
        <f>SERGIO!G352</f>
        <v>JOAQUÍN PEDRERO CEBALLOS</v>
      </c>
      <c r="E353" s="92" t="str">
        <f>Hoja1!E352</f>
        <v>GERCAR CONSTRUCCIONES Y REFORMAS</v>
      </c>
    </row>
    <row r="354" spans="1:5" x14ac:dyDescent="0.25">
      <c r="A354" s="98">
        <f>Hoja1!B353</f>
        <v>44754</v>
      </c>
      <c r="B354" s="99">
        <f>Hoja1!C353</f>
        <v>0.44444444444444398</v>
      </c>
      <c r="C354" s="91" t="str">
        <f>Hoja1!D353</f>
        <v>INMACULADA SÁNCHEZ PASTOR</v>
      </c>
      <c r="D354" s="91" t="str">
        <f>SERGIO!G353</f>
        <v>ENRIQUE ALCOBA VIZCAÍNO</v>
      </c>
      <c r="E354" s="92" t="str">
        <f>Hoja1!E353</f>
        <v>CLECE, S.A.</v>
      </c>
    </row>
    <row r="355" spans="1:5" x14ac:dyDescent="0.25">
      <c r="A355" s="98">
        <f>Hoja1!B354</f>
        <v>44757</v>
      </c>
      <c r="B355" s="99">
        <f>Hoja1!C354</f>
        <v>0.54166666666666696</v>
      </c>
      <c r="C355" s="91" t="str">
        <f>Hoja1!D354</f>
        <v>HOURIA AARAN EL NOKHTAR</v>
      </c>
      <c r="D355" s="91" t="str">
        <f>SERGIO!G354</f>
        <v>FARID MOHAMED SAID</v>
      </c>
      <c r="E355" s="92" t="str">
        <f>Hoja1!E354</f>
        <v>MANUEL MARTÍN VISIEDO</v>
      </c>
    </row>
    <row r="356" spans="1:5" ht="23" x14ac:dyDescent="0.25">
      <c r="A356" s="98">
        <f>Hoja1!B355</f>
        <v>44757</v>
      </c>
      <c r="B356" s="99">
        <f>Hoja1!C355</f>
        <v>0.54513888888888895</v>
      </c>
      <c r="C356" s="91" t="str">
        <f>Hoja1!D355</f>
        <v>JESÚS MIGUEL SÁEZ CAZORLA</v>
      </c>
      <c r="D356" s="91">
        <f>SERGIO!G355</f>
        <v>0</v>
      </c>
      <c r="E356" s="92" t="str">
        <f>Hoja1!E355</f>
        <v>SERSINERGIA SERVICE SOLUTIONS, S.L., SULIMAN BUMEDIEN MOHATAR Y NAYIM MOHAMED MOHAMED</v>
      </c>
    </row>
    <row r="357" spans="1:5" ht="23" x14ac:dyDescent="0.25">
      <c r="A357" s="98">
        <f>Hoja1!B356</f>
        <v>44757</v>
      </c>
      <c r="B357" s="99">
        <f>Hoja1!C356</f>
        <v>0.54861111111111105</v>
      </c>
      <c r="C357" s="91" t="str">
        <f>Hoja1!D356</f>
        <v>JESÚS MIGUEL SÁEZ CAZORLA</v>
      </c>
      <c r="D357" s="91" t="str">
        <f>SERGIO!G356</f>
        <v>DANIEL TEBAR CARMONA</v>
      </c>
      <c r="E357" s="92" t="str">
        <f>Hoja1!E356</f>
        <v>SERSINERGIA SERVICE SOLUTIONS, S.L. Y NAYIM MOHAMED MOHAMED</v>
      </c>
    </row>
    <row r="358" spans="1:5" ht="23" x14ac:dyDescent="0.25">
      <c r="A358" s="98">
        <f>Hoja1!B357</f>
        <v>44754</v>
      </c>
      <c r="B358" s="99">
        <f>Hoja1!C357</f>
        <v>0.44791666666666702</v>
      </c>
      <c r="C358" s="91" t="str">
        <f>Hoja1!D357</f>
        <v>LEANDRO JOSE MORA NAVARRO</v>
      </c>
      <c r="D358" s="91" t="str">
        <f>SERGIO!G357</f>
        <v>SALOMÓN SERFATY BITTAN</v>
      </c>
      <c r="E358" s="92" t="str">
        <f>Hoja1!E357</f>
        <v>MEDIA MARKT EMERGING FORMATS SL (MEDIAMARKT MELILLA) Y JUKE ENTERTAINMENT ESPAÑA SL</v>
      </c>
    </row>
    <row r="359" spans="1:5" ht="23" x14ac:dyDescent="0.25">
      <c r="A359" s="98">
        <f>Hoja1!B358</f>
        <v>44754</v>
      </c>
      <c r="B359" s="99">
        <f>Hoja1!C358</f>
        <v>0.45138888888888901</v>
      </c>
      <c r="C359" s="91" t="str">
        <f>Hoja1!D358</f>
        <v>LEANDRO JOSE MORA NAVARRO</v>
      </c>
      <c r="D359" s="91" t="str">
        <f>SERGIO!G358</f>
        <v>DAVID MARÍN SÁNCHEZ</v>
      </c>
      <c r="E359" s="92" t="str">
        <f>Hoja1!E358</f>
        <v>MEDIA MARKT EMERGING FORMATS SL (MEDIAMARKT MELILLA) Y JUKE ENTERTAINMENT ESPAÑA SL</v>
      </c>
    </row>
    <row r="360" spans="1:5" x14ac:dyDescent="0.25">
      <c r="A360" s="98">
        <f>Hoja1!B359</f>
        <v>44757</v>
      </c>
      <c r="B360" s="99">
        <f>Hoja1!C359</f>
        <v>0.55208333333333304</v>
      </c>
      <c r="C360" s="91" t="str">
        <f>Hoja1!D359</f>
        <v>JAVIER LÓPEZ MOHAMED</v>
      </c>
      <c r="D360" s="91" t="str">
        <f>SERGIO!G359</f>
        <v>MARÍA DEL CARMEN PALACIOS COBO</v>
      </c>
      <c r="E360" s="92" t="str">
        <f>Hoja1!E359</f>
        <v>TARIK SBAAI EL MADANI</v>
      </c>
    </row>
    <row r="361" spans="1:5" x14ac:dyDescent="0.25">
      <c r="A361" s="98">
        <f>Hoja1!B360</f>
        <v>44754</v>
      </c>
      <c r="B361" s="99">
        <f>Hoja1!C360</f>
        <v>0.45486111111111099</v>
      </c>
      <c r="C361" s="91" t="str">
        <f>Hoja1!D360</f>
        <v>MIMOUNT EL MESSAOUDI BENHAMMOU</v>
      </c>
      <c r="D361" s="91" t="str">
        <f>SERGIO!G360</f>
        <v>DAVID MARÍN SÁNCHEZ</v>
      </c>
      <c r="E361" s="92" t="str">
        <f>Hoja1!E360</f>
        <v>HÉRCULES SERVICIOS GENERALES INTEGRALES, S.L.</v>
      </c>
    </row>
    <row r="362" spans="1:5" x14ac:dyDescent="0.25">
      <c r="A362" s="98">
        <f>Hoja1!B361</f>
        <v>44757</v>
      </c>
      <c r="B362" s="99">
        <f>Hoja1!C361</f>
        <v>0.55555555555555503</v>
      </c>
      <c r="C362" s="91" t="str">
        <f>Hoja1!D361</f>
        <v>LATIFA BOUTACHKOUCHT</v>
      </c>
      <c r="D362" s="91" t="str">
        <f>SERGIO!G361</f>
        <v>SALOMÓN SERFATY BITTAN</v>
      </c>
      <c r="E362" s="92" t="str">
        <f>Hoja1!E361</f>
        <v>MARÍA PILAR PUEYO BLANCO</v>
      </c>
    </row>
    <row r="363" spans="1:5" x14ac:dyDescent="0.25">
      <c r="A363" s="98">
        <f>Hoja1!B362</f>
        <v>44757</v>
      </c>
      <c r="B363" s="99">
        <f>Hoja1!C362</f>
        <v>0.55902777777777801</v>
      </c>
      <c r="C363" s="91" t="str">
        <f>Hoja1!D362</f>
        <v>RUTH BAENA IBÁÑEZ</v>
      </c>
      <c r="D363" s="91" t="str">
        <f>SERGIO!G362</f>
        <v>GEMA FERRER RODRÍGUEZ</v>
      </c>
      <c r="E363" s="92" t="str">
        <f>Hoja1!E362</f>
        <v>SORAYA MONAGAS GONZÁLEZ Y NATALIA BOCANEGRA</v>
      </c>
    </row>
    <row r="364" spans="1:5" x14ac:dyDescent="0.25">
      <c r="A364" s="98">
        <f>Hoja1!B363</f>
        <v>44757</v>
      </c>
      <c r="B364" s="99">
        <f>Hoja1!C363</f>
        <v>0.5625</v>
      </c>
      <c r="C364" s="91" t="str">
        <f>Hoja1!D363</f>
        <v>MARÍA JOSEFA MONTEJANO SERNA</v>
      </c>
      <c r="D364" s="91" t="str">
        <f>SERGIO!G363</f>
        <v>JOAQUÍN GARCÍA ANGOSTO</v>
      </c>
      <c r="E364" s="92" t="str">
        <f>Hoja1!E363</f>
        <v>SORAYA MONAGAS GONZÁLEZ Y NATALIA BOCANEGRA</v>
      </c>
    </row>
    <row r="365" spans="1:5" x14ac:dyDescent="0.25">
      <c r="A365" s="98">
        <f>Hoja1!B364</f>
        <v>44757</v>
      </c>
      <c r="B365" s="99">
        <f>Hoja1!C364</f>
        <v>0.56597222222222199</v>
      </c>
      <c r="C365" s="91" t="str">
        <f>Hoja1!D364</f>
        <v>TOUFIK TAHIRI</v>
      </c>
      <c r="D365" s="91" t="str">
        <f>SERGIO!G364</f>
        <v>JOSÉ MIGUEL PÉREZ PÉREZ</v>
      </c>
      <c r="E365" s="92" t="str">
        <f>Hoja1!E364</f>
        <v>ROSA CARRERO SLU</v>
      </c>
    </row>
    <row r="366" spans="1:5" x14ac:dyDescent="0.25">
      <c r="A366" s="98">
        <f>Hoja1!B365</f>
        <v>44757</v>
      </c>
      <c r="B366" s="99">
        <f>Hoja1!C365</f>
        <v>0.56944444444444398</v>
      </c>
      <c r="C366" s="91" t="str">
        <f>Hoja1!D365</f>
        <v>HAQUIM EMBARK ABDEL-LAH</v>
      </c>
      <c r="D366" s="91" t="str">
        <f>SERGIO!G365</f>
        <v>GEMA FERRER RODRÍGUEZ</v>
      </c>
      <c r="E366" s="92" t="str">
        <f>Hoja1!E365</f>
        <v>SUPERSOL SPAIN SLU</v>
      </c>
    </row>
    <row r="367" spans="1:5" x14ac:dyDescent="0.25">
      <c r="A367" s="98">
        <f>Hoja1!B366</f>
        <v>44771</v>
      </c>
      <c r="B367" s="99">
        <f>Hoja1!C366</f>
        <v>0.39583333333333298</v>
      </c>
      <c r="C367" s="91" t="str">
        <f>Hoja1!D366</f>
        <v>IMEN ABDELKADER ABDELA</v>
      </c>
      <c r="D367" s="91" t="str">
        <f>SERGIO!G366</f>
        <v>JOSÉ VICENTE MORENO SÁNCHEZ</v>
      </c>
      <c r="E367" s="92" t="str">
        <f>Hoja1!E366</f>
        <v>TELEINFORMÁTICA Y COMUNICACIONES, S.A.</v>
      </c>
    </row>
    <row r="368" spans="1:5" x14ac:dyDescent="0.25">
      <c r="A368" s="98">
        <f>Hoja1!B367</f>
        <v>44771</v>
      </c>
      <c r="B368" s="99">
        <f>Hoja1!C367</f>
        <v>0.39930555555555602</v>
      </c>
      <c r="C368" s="91" t="str">
        <f>Hoja1!D367</f>
        <v>IMEN ABDELKADER ABDELA</v>
      </c>
      <c r="D368" s="91">
        <f>SERGIO!G367</f>
        <v>0</v>
      </c>
      <c r="E368" s="92" t="str">
        <f>Hoja1!E367</f>
        <v>TELEINFORMÁTICA Y COMUNICACIONES, S.A.</v>
      </c>
    </row>
    <row r="369" spans="1:5" x14ac:dyDescent="0.25">
      <c r="A369" s="98">
        <f>Hoja1!B368</f>
        <v>44771</v>
      </c>
      <c r="B369" s="99">
        <f>Hoja1!C368</f>
        <v>0.40277777777777801</v>
      </c>
      <c r="C369" s="91" t="str">
        <f>Hoja1!D368</f>
        <v>AMINA KHALDOUN</v>
      </c>
      <c r="D369" s="91" t="str">
        <f>SERGIO!G368</f>
        <v>ALMA MARÍA RUIZ GIL</v>
      </c>
      <c r="E369" s="92" t="str">
        <f>Hoja1!E368</f>
        <v>KARIMA MIZZIAN HAMED</v>
      </c>
    </row>
    <row r="370" spans="1:5" x14ac:dyDescent="0.25">
      <c r="A370" s="98">
        <f>Hoja1!B369</f>
        <v>44771</v>
      </c>
      <c r="B370" s="99">
        <f>Hoja1!C369</f>
        <v>0.40625</v>
      </c>
      <c r="C370" s="91" t="str">
        <f>Hoja1!D369</f>
        <v>FATIMA MTITACHE</v>
      </c>
      <c r="D370" s="91" t="str">
        <f>SERGIO!G369</f>
        <v>RABEA AOMAR MOHAMED</v>
      </c>
      <c r="E370" s="92" t="str">
        <f>Hoja1!E369</f>
        <v>KARIMA MIZZIAN HAMED</v>
      </c>
    </row>
    <row r="371" spans="1:5" ht="23" x14ac:dyDescent="0.25">
      <c r="A371" s="98">
        <f>Hoja1!B370</f>
        <v>44771</v>
      </c>
      <c r="B371" s="99">
        <f>Hoja1!C370</f>
        <v>0.40972222222222199</v>
      </c>
      <c r="C371" s="91" t="str">
        <f>Hoja1!D370</f>
        <v>IBRAHIM EL FILALI</v>
      </c>
      <c r="D371" s="91">
        <f>SERGIO!G370</f>
        <v>0</v>
      </c>
      <c r="E371" s="92" t="str">
        <f>Hoja1!E370</f>
        <v>CONSTRUCCIONES, REFORMAS Y MANTENIMIENTOS REA, S.L.</v>
      </c>
    </row>
    <row r="372" spans="1:5" x14ac:dyDescent="0.25">
      <c r="A372" s="98">
        <f>Hoja1!B371</f>
        <v>44771</v>
      </c>
      <c r="B372" s="99">
        <f>Hoja1!C371</f>
        <v>0.41319444444444398</v>
      </c>
      <c r="C372" s="91" t="str">
        <f>Hoja1!D371</f>
        <v>ABDELMAJID BOUJOU</v>
      </c>
      <c r="D372" s="91" t="str">
        <f>SERGIO!G371</f>
        <v>ALBERTO J. REQUENA POU</v>
      </c>
      <c r="E372" s="92" t="str">
        <f>Hoja1!E371</f>
        <v>HASSAN DRIS HADDU</v>
      </c>
    </row>
    <row r="373" spans="1:5" x14ac:dyDescent="0.25">
      <c r="A373" s="98">
        <f>Hoja1!B372</f>
        <v>44771</v>
      </c>
      <c r="B373" s="99">
        <f>Hoja1!C372</f>
        <v>0.41666666666666702</v>
      </c>
      <c r="C373" s="91" t="str">
        <f>Hoja1!D372</f>
        <v>ESTHER LÓPEZ COLL</v>
      </c>
      <c r="D373" s="91" t="str">
        <f>SERGIO!G372</f>
        <v>FARID MOHAMED SAID</v>
      </c>
      <c r="E373" s="92" t="str">
        <f>Hoja1!E372</f>
        <v>CARMELO MARTÍNEZ LÁZARO, S.L.U.</v>
      </c>
    </row>
    <row r="374" spans="1:5" x14ac:dyDescent="0.25">
      <c r="A374" s="98">
        <f>Hoja1!B373</f>
        <v>44771</v>
      </c>
      <c r="B374" s="99">
        <f>Hoja1!C373</f>
        <v>0.42013888888888901</v>
      </c>
      <c r="C374" s="91" t="str">
        <f>Hoja1!D373</f>
        <v>ELENA MARÍA ESPAÑA NÚÑEZ</v>
      </c>
      <c r="D374" s="91" t="str">
        <f>SERGIO!G373</f>
        <v>JUAN JESÚS OLIVARES AMAYA</v>
      </c>
      <c r="E374" s="92" t="str">
        <f>Hoja1!E373</f>
        <v>HÉRCULES SERVICIOS GENERALES INTEGRALES</v>
      </c>
    </row>
    <row r="375" spans="1:5" x14ac:dyDescent="0.25">
      <c r="A375" s="98">
        <f>Hoja1!B374</f>
        <v>44771</v>
      </c>
      <c r="B375" s="99">
        <f>Hoja1!C374</f>
        <v>0.42361111111111099</v>
      </c>
      <c r="C375" s="91" t="str">
        <f>Hoja1!D374</f>
        <v>HAIET DUNIA MOHAMED ABDELAH</v>
      </c>
      <c r="D375" s="91" t="str">
        <f>SERGIO!G374</f>
        <v>ANTONIO PABLO PÉREZ JUSTO</v>
      </c>
      <c r="E375" s="92" t="str">
        <f>Hoja1!E374</f>
        <v>MEDIAMARKT EMERGING FORMATS, S.L.U.</v>
      </c>
    </row>
    <row r="376" spans="1:5" x14ac:dyDescent="0.25">
      <c r="A376" s="98">
        <f>Hoja1!B375</f>
        <v>44776</v>
      </c>
      <c r="B376" s="99">
        <f>Hoja1!C375</f>
        <v>0.39583333333333298</v>
      </c>
      <c r="C376" s="91" t="str">
        <f>Hoja1!D375</f>
        <v>HASSAN EL MASSAOUDI ESSOUSSI</v>
      </c>
      <c r="D376" s="91" t="str">
        <f>SERGIO!G375</f>
        <v>FARID MOHAMED SAID</v>
      </c>
      <c r="E376" s="92" t="str">
        <f>Hoja1!E375</f>
        <v>EL HOSSINE AJAYHI BELGHANOU</v>
      </c>
    </row>
    <row r="377" spans="1:5" x14ac:dyDescent="0.25">
      <c r="A377" s="98">
        <f>Hoja1!B376</f>
        <v>44771</v>
      </c>
      <c r="B377" s="99">
        <f>Hoja1!C376</f>
        <v>0.42708333333333298</v>
      </c>
      <c r="C377" s="91" t="str">
        <f>Hoja1!D376</f>
        <v>ALICIA LÓPEZ GALINDO</v>
      </c>
      <c r="D377" s="91" t="str">
        <f>SERGIO!G376</f>
        <v>GEMA FERRER RODRÍGUEZ</v>
      </c>
      <c r="E377" s="92" t="str">
        <f>Hoja1!E376</f>
        <v>GRAN CASINO DE MELILLA, S.A.</v>
      </c>
    </row>
    <row r="378" spans="1:5" x14ac:dyDescent="0.25">
      <c r="A378" s="98">
        <f>Hoja1!B377</f>
        <v>44771</v>
      </c>
      <c r="B378" s="99">
        <f>Hoja1!C377</f>
        <v>0.43055555555555602</v>
      </c>
      <c r="C378" s="91" t="str">
        <f>Hoja1!D377</f>
        <v>REDUAN RUBÉN VÁZQUEZ HAMIDO</v>
      </c>
      <c r="D378" s="91" t="str">
        <f>SERGIO!G377</f>
        <v>ELÍAS BENHAMÚ BELILTY</v>
      </c>
      <c r="E378" s="92" t="str">
        <f>Hoja1!E377</f>
        <v>GRAN CASINO DE MELILLA, S.A.</v>
      </c>
    </row>
    <row r="379" spans="1:5" ht="23" x14ac:dyDescent="0.25">
      <c r="A379" s="98">
        <f>Hoja1!B378</f>
        <v>44771</v>
      </c>
      <c r="B379" s="99">
        <f>Hoja1!C378</f>
        <v>0.43402777777777801</v>
      </c>
      <c r="C379" s="91" t="str">
        <f>Hoja1!D378</f>
        <v>ANTONIO MÉNDEZ MIZZIAN</v>
      </c>
      <c r="D379" s="91" t="str">
        <f>SERGIO!G378</f>
        <v>FARID MOHAMED SAID</v>
      </c>
      <c r="E379" s="92" t="str">
        <f>Hoja1!E378</f>
        <v>JUKE ENTERTAINMENT ESPAÑA, S.L. Y MEDIA MARKT EMERGING FORMATS, SL.U.</v>
      </c>
    </row>
    <row r="380" spans="1:5" x14ac:dyDescent="0.25">
      <c r="A380" s="98">
        <f>Hoja1!B379</f>
        <v>44771</v>
      </c>
      <c r="B380" s="99">
        <f>Hoja1!C379</f>
        <v>0.4375</v>
      </c>
      <c r="C380" s="91" t="str">
        <f>Hoja1!D379</f>
        <v>VERÓNICA GALLEGO VILLANOVA</v>
      </c>
      <c r="D380" s="91" t="str">
        <f>SERGIO!G379</f>
        <v>JOAQUÍN GARCÍA ANGOSTO</v>
      </c>
      <c r="E380" s="92" t="str">
        <f>Hoja1!E379</f>
        <v>DIA RETAIL ESPAÑA, S.A.U.</v>
      </c>
    </row>
    <row r="381" spans="1:5" ht="23" x14ac:dyDescent="0.25">
      <c r="A381" s="98">
        <f>Hoja1!B380</f>
        <v>44771</v>
      </c>
      <c r="B381" s="99">
        <f>Hoja1!C380</f>
        <v>0.44097222222222199</v>
      </c>
      <c r="C381" s="91" t="str">
        <f>Hoja1!D380</f>
        <v>MARÍA ELENA CORREA FRAILE</v>
      </c>
      <c r="D381" s="91" t="str">
        <f>SERGIO!G380</f>
        <v>JOAQUÍN GARCÍA ANGOSTO</v>
      </c>
      <c r="E381" s="92" t="str">
        <f>Hoja1!E380</f>
        <v>HÉRCULES SERVICIOS GENERALES DE INTEGRACIÓN, S.L.</v>
      </c>
    </row>
    <row r="382" spans="1:5" x14ac:dyDescent="0.25">
      <c r="A382" s="98">
        <f>Hoja1!B381</f>
        <v>44776</v>
      </c>
      <c r="B382" s="99">
        <f>Hoja1!C381</f>
        <v>0.39930555555555602</v>
      </c>
      <c r="C382" s="91" t="str">
        <f>Hoja1!D381</f>
        <v>YUNES AHMED HASSAN</v>
      </c>
      <c r="D382" s="91" t="str">
        <f>SERGIO!G381</f>
        <v>JOAQUÍN GARCÍA ANGOSTO</v>
      </c>
      <c r="E382" s="92" t="str">
        <f>Hoja1!E381</f>
        <v>EURO HUADA, S.L.</v>
      </c>
    </row>
    <row r="383" spans="1:5" x14ac:dyDescent="0.25">
      <c r="A383" s="98">
        <f>Hoja1!B382</f>
        <v>44776</v>
      </c>
      <c r="B383" s="99">
        <f>Hoja1!C382</f>
        <v>0.40277777777777801</v>
      </c>
      <c r="C383" s="91" t="str">
        <f>Hoja1!D382</f>
        <v>JUAN CARLOS CASTRO HERNÁNDEZ</v>
      </c>
      <c r="D383" s="91" t="str">
        <f>SERGIO!G382</f>
        <v>JOAQUÍN GARCÍA ANGOSTO</v>
      </c>
      <c r="E383" s="92" t="str">
        <f>Hoja1!E382</f>
        <v>PUBLIGRAFIC MELILLA, S.L.</v>
      </c>
    </row>
    <row r="384" spans="1:5" ht="23" x14ac:dyDescent="0.25">
      <c r="A384" s="98">
        <f>Hoja1!B383</f>
        <v>44776</v>
      </c>
      <c r="B384" s="99">
        <f>Hoja1!C383</f>
        <v>0.40625</v>
      </c>
      <c r="C384" s="91" t="str">
        <f>Hoja1!D383</f>
        <v>SALIMA AHMED DRIS</v>
      </c>
      <c r="D384" s="91" t="str">
        <f>SERGIO!G383</f>
        <v>JOAQUÍN GARCÍA ANGOSTO</v>
      </c>
      <c r="E384" s="92" t="str">
        <f>Hoja1!E383</f>
        <v>MEDIA MARKT EMERGING FORMATS, S.L. Y JUKE ENTERTAINMENT ESPAÑA, S.L.</v>
      </c>
    </row>
    <row r="385" spans="1:5" x14ac:dyDescent="0.25">
      <c r="A385" s="98">
        <f>Hoja1!B384</f>
        <v>44776</v>
      </c>
      <c r="B385" s="99">
        <f>Hoja1!C384</f>
        <v>0.40972222222222199</v>
      </c>
      <c r="C385" s="91" t="str">
        <f>Hoja1!D384</f>
        <v>ABDESLAM EL MJDOUBI ASSALHI</v>
      </c>
      <c r="D385" s="91" t="str">
        <f>SERGIO!G384</f>
        <v>JOUSEFF TORRES OLORIZ MOHAMED</v>
      </c>
      <c r="E385" s="92" t="str">
        <f>Hoja1!E384</f>
        <v>EMPRESA DE TRANSFORMACIÓN AGRARIA, TRAGSA</v>
      </c>
    </row>
    <row r="386" spans="1:5" x14ac:dyDescent="0.25">
      <c r="A386" s="98">
        <f>Hoja1!B385</f>
        <v>44776</v>
      </c>
      <c r="B386" s="99">
        <f>Hoja1!C385</f>
        <v>0.41319444444444398</v>
      </c>
      <c r="C386" s="91" t="str">
        <f>Hoja1!D385</f>
        <v>ABDESLAM EL MJDOUBI ASSALHI</v>
      </c>
      <c r="D386" s="91" t="str">
        <f>SERGIO!G385</f>
        <v>FARID MOHAMED SAID</v>
      </c>
      <c r="E386" s="92" t="str">
        <f>Hoja1!E385</f>
        <v>EMPRESA DE TRANSFORMACIÓN AGRARIA, TRAGSA</v>
      </c>
    </row>
    <row r="387" spans="1:5" x14ac:dyDescent="0.25">
      <c r="A387" s="98">
        <f>Hoja1!B386</f>
        <v>44776</v>
      </c>
      <c r="B387" s="99">
        <f>Hoja1!C386</f>
        <v>0.41666666666666702</v>
      </c>
      <c r="C387" s="91" t="str">
        <f>Hoja1!D386</f>
        <v>ABDESLAM EL MJDOUBI ASSALHI</v>
      </c>
      <c r="D387" s="91">
        <f>SERGIO!G386</f>
        <v>0</v>
      </c>
      <c r="E387" s="92" t="str">
        <f>Hoja1!E386</f>
        <v>EMPRESA DE TRANSFORMACIÓN AGRARIA, TRAGSA</v>
      </c>
    </row>
    <row r="388" spans="1:5" x14ac:dyDescent="0.25">
      <c r="A388" s="98">
        <f>Hoja1!B387</f>
        <v>44776</v>
      </c>
      <c r="B388" s="99">
        <f>Hoja1!C387</f>
        <v>0.42013888888888901</v>
      </c>
      <c r="C388" s="91" t="str">
        <f>Hoja1!D387</f>
        <v>FOUAD MAHMOUDI BOUKABBOUZ</v>
      </c>
      <c r="D388" s="91" t="str">
        <f>SERGIO!G387</f>
        <v>JOAQUÍN GARCÍA ANGOSTO</v>
      </c>
      <c r="E388" s="92" t="str">
        <f>Hoja1!E387</f>
        <v>CASHDIPLO, S.L.U.</v>
      </c>
    </row>
    <row r="389" spans="1:5" x14ac:dyDescent="0.25">
      <c r="A389" s="98">
        <f>Hoja1!B388</f>
        <v>44776</v>
      </c>
      <c r="B389" s="99">
        <f>Hoja1!C388</f>
        <v>0.42361111111111099</v>
      </c>
      <c r="C389" s="91" t="str">
        <f>Hoja1!D388</f>
        <v>FOUAD MAHMOUDI BOUKABBOUZ</v>
      </c>
      <c r="D389" s="91" t="str">
        <f>SERGIO!G388</f>
        <v>JOSÉ ALONSO SÁNCHEZ</v>
      </c>
      <c r="E389" s="92" t="str">
        <f>Hoja1!E388</f>
        <v>CASHDIPLO, S.L.U.</v>
      </c>
    </row>
    <row r="390" spans="1:5" x14ac:dyDescent="0.25">
      <c r="A390" s="98">
        <f>Hoja1!B389</f>
        <v>44776</v>
      </c>
      <c r="B390" s="99">
        <f>Hoja1!C389</f>
        <v>0.42708333333333298</v>
      </c>
      <c r="C390" s="91" t="str">
        <f>Hoja1!D389</f>
        <v>ELOY MARTÍNEZ RUIZ</v>
      </c>
      <c r="D390" s="91" t="str">
        <f>SERGIO!G389</f>
        <v>DAVID MARÍN SÁNCHEZ</v>
      </c>
      <c r="E390" s="92" t="str">
        <f>Hoja1!E389</f>
        <v>SURESTE SEGURIDAD S.L.</v>
      </c>
    </row>
    <row r="391" spans="1:5" x14ac:dyDescent="0.25">
      <c r="A391" s="98">
        <f>Hoja1!B390</f>
        <v>44783</v>
      </c>
      <c r="B391" s="99">
        <f>Hoja1!C390</f>
        <v>0.39583333333333298</v>
      </c>
      <c r="C391" s="91" t="str">
        <f>Hoja1!D390</f>
        <v>ASMAA CARROUM</v>
      </c>
      <c r="D391" s="91" t="str">
        <f>SERGIO!G390</f>
        <v>DAVID MARÍN SÁNCHEZ</v>
      </c>
      <c r="E391" s="92" t="str">
        <f>Hoja1!E390</f>
        <v>M.ª ISABEL ROMERO IMBRODA</v>
      </c>
    </row>
    <row r="392" spans="1:5" x14ac:dyDescent="0.25">
      <c r="A392" s="98">
        <f>Hoja1!B391</f>
        <v>44783</v>
      </c>
      <c r="B392" s="99">
        <f>Hoja1!C391</f>
        <v>0.39930555555555602</v>
      </c>
      <c r="C392" s="91" t="str">
        <f>Hoja1!D391</f>
        <v>MOHAMED EL GAUADI</v>
      </c>
      <c r="D392" s="91" t="str">
        <f>SERGIO!G391</f>
        <v>DAVID MARÍN SÁNCHEZ</v>
      </c>
      <c r="E392" s="92" t="str">
        <f>Hoja1!E391</f>
        <v>UTE RECICLADOS MELILLA</v>
      </c>
    </row>
    <row r="393" spans="1:5" x14ac:dyDescent="0.25">
      <c r="A393" s="98">
        <f>Hoja1!B392</f>
        <v>44783</v>
      </c>
      <c r="B393" s="99">
        <f>Hoja1!C392</f>
        <v>0.40277777777777801</v>
      </c>
      <c r="C393" s="91" t="str">
        <f>Hoja1!D392</f>
        <v>SOLIMAN MOHAMED EL YAMANI</v>
      </c>
      <c r="D393" s="91" t="str">
        <f>SERGIO!G392</f>
        <v>JOSÉ MARÍA IGNACIO SÁNCHEZ CHOLBI</v>
      </c>
      <c r="E393" s="92" t="str">
        <f>Hoja1!E392</f>
        <v>VALORIZA SERVICIOS MEDIOAMBIENTALES</v>
      </c>
    </row>
    <row r="394" spans="1:5" x14ac:dyDescent="0.25">
      <c r="A394" s="98">
        <f>Hoja1!B393</f>
        <v>44783</v>
      </c>
      <c r="B394" s="99">
        <f>Hoja1!C393</f>
        <v>0.40625</v>
      </c>
      <c r="C394" s="91" t="str">
        <f>Hoja1!D393</f>
        <v>DRYANS MANUEL VALERO NUÑEZ</v>
      </c>
      <c r="D394" s="91" t="str">
        <f>SERGIO!G393</f>
        <v>DAVID MARÍN SÁNCHEZ</v>
      </c>
      <c r="E394" s="92" t="str">
        <f>Hoja1!E393</f>
        <v>TANIA ESTRELLA LOZANO FLORES</v>
      </c>
    </row>
    <row r="395" spans="1:5" x14ac:dyDescent="0.25">
      <c r="A395" s="98">
        <f>Hoja1!B394</f>
        <v>44783</v>
      </c>
      <c r="B395" s="99">
        <f>Hoja1!C394</f>
        <v>0.40972222222222199</v>
      </c>
      <c r="C395" s="91" t="str">
        <f>Hoja1!D394</f>
        <v>NASSER ASSAIDI HAMMUAD</v>
      </c>
      <c r="D395" s="91" t="str">
        <f>SERGIO!G394</f>
        <v>JOSE LUIS FAUS ARIAS</v>
      </c>
      <c r="E395" s="92" t="str">
        <f>Hoja1!E394</f>
        <v>BURGER KING SPAIN, S.L.</v>
      </c>
    </row>
    <row r="396" spans="1:5" x14ac:dyDescent="0.25">
      <c r="A396" s="98">
        <f>Hoja1!B395</f>
        <v>44783</v>
      </c>
      <c r="B396" s="99">
        <f>Hoja1!C395</f>
        <v>0.41319444444444398</v>
      </c>
      <c r="C396" s="91" t="str">
        <f>Hoja1!D395</f>
        <v>PATRICIA ESTRUCH LAHSAINI</v>
      </c>
      <c r="D396" s="91" t="str">
        <f>SERGIO!G395</f>
        <v>ENRIQUE ALCOBA VIZCAÍNO</v>
      </c>
      <c r="E396" s="92" t="str">
        <f>Hoja1!E395</f>
        <v>RENVERSE SLU</v>
      </c>
    </row>
    <row r="397" spans="1:5" x14ac:dyDescent="0.25">
      <c r="A397" s="98">
        <f>Hoja1!B396</f>
        <v>44783</v>
      </c>
      <c r="B397" s="99">
        <f>Hoja1!C396</f>
        <v>0.41666666666666702</v>
      </c>
      <c r="C397" s="91" t="str">
        <f>Hoja1!D396</f>
        <v>HAQUIM EMBARK ABDEL-LAH</v>
      </c>
      <c r="D397" s="91" t="str">
        <f>SERGIO!G396</f>
        <v>MARÍA DEL CARMEN PALACIOS COBO</v>
      </c>
      <c r="E397" s="92" t="str">
        <f>Hoja1!E396</f>
        <v>CENTROS CARREFOUR SA</v>
      </c>
    </row>
    <row r="398" spans="1:5" ht="23" x14ac:dyDescent="0.25">
      <c r="A398" s="98">
        <f>Hoja1!B397</f>
        <v>44783</v>
      </c>
      <c r="B398" s="99">
        <f>Hoja1!C397</f>
        <v>0.42013888888888901</v>
      </c>
      <c r="C398" s="91" t="str">
        <f>Hoja1!D397</f>
        <v>HASSAN DOUDOUH</v>
      </c>
      <c r="D398" s="91" t="str">
        <f>SERGIO!G397</f>
        <v>MARÍA DEL CARMEN PALACIOS COBO</v>
      </c>
      <c r="E398" s="92" t="str">
        <f>Hoja1!E397</f>
        <v>CC.OO DE MELILLA, CC.OO CONSTRUCCION Y SERVICIOS, CC.OO DEL HABITAT</v>
      </c>
    </row>
    <row r="399" spans="1:5" x14ac:dyDescent="0.25">
      <c r="A399" s="98">
        <f>Hoja1!B398</f>
        <v>44783</v>
      </c>
      <c r="B399" s="99">
        <f>Hoja1!C398</f>
        <v>0.42361111111111099</v>
      </c>
      <c r="C399" s="91" t="str">
        <f>Hoja1!D398</f>
        <v>LAURA ZAPATA LOPEZ</v>
      </c>
      <c r="D399" s="91" t="str">
        <f>SERGIO!G398</f>
        <v>JOAQUÍN GARCÍA ANGOSTO</v>
      </c>
      <c r="E399" s="92" t="str">
        <f>Hoja1!E398</f>
        <v>CARMELO MARTINEZ LAZARO SLU</v>
      </c>
    </row>
    <row r="400" spans="1:5" x14ac:dyDescent="0.25">
      <c r="A400" s="98">
        <f>Hoja1!B399</f>
        <v>44783</v>
      </c>
      <c r="B400" s="99">
        <f>Hoja1!C399</f>
        <v>0.42708333333333298</v>
      </c>
      <c r="C400" s="91" t="str">
        <f>Hoja1!D399</f>
        <v>CARMEN PEREZ MARTINEZ</v>
      </c>
      <c r="D400" s="91" t="str">
        <f>SERGIO!G399</f>
        <v>MARÍA DEL CARMEN PALACIOS COBO</v>
      </c>
      <c r="E400" s="92" t="str">
        <f>Hoja1!E399</f>
        <v>CARMELO MARTINEZ LAZARO SLU</v>
      </c>
    </row>
    <row r="401" spans="1:5" x14ac:dyDescent="0.25">
      <c r="A401" s="98">
        <f>Hoja1!B400</f>
        <v>44776</v>
      </c>
      <c r="B401" s="99">
        <f>Hoja1!C400</f>
        <v>0.43055555555555602</v>
      </c>
      <c r="C401" s="91" t="str">
        <f>Hoja1!D400</f>
        <v>MERCEDES CHOCRÓN BUNAN</v>
      </c>
      <c r="D401" s="91" t="str">
        <f>SERGIO!G400</f>
        <v>JOSE FRANCISCO MUÑOZ BERNAL</v>
      </c>
      <c r="E401" s="92" t="str">
        <f>Hoja1!E400</f>
        <v>GESTIÓN DE TEXTIL INTEGRAL DEL SUR 2009 SL</v>
      </c>
    </row>
    <row r="402" spans="1:5" x14ac:dyDescent="0.25">
      <c r="A402" s="98">
        <f>Hoja1!B401</f>
        <v>44776</v>
      </c>
      <c r="B402" s="99">
        <f>Hoja1!C401</f>
        <v>0.43402777777777801</v>
      </c>
      <c r="C402" s="91" t="str">
        <f>Hoja1!D401</f>
        <v>ESTHER SULTÁN RUAS</v>
      </c>
      <c r="D402" s="91" t="str">
        <f>SERGIO!G401</f>
        <v>JOSÉ MIGUEL PÉREZ PÉREZ</v>
      </c>
      <c r="E402" s="92" t="str">
        <f>Hoja1!E401</f>
        <v>GESTIÓN DE TEXTIL INTEGRAL DEL SUR 2009 SL</v>
      </c>
    </row>
    <row r="403" spans="1:5" ht="23" x14ac:dyDescent="0.25">
      <c r="A403" s="98">
        <f>Hoja1!B402</f>
        <v>44790</v>
      </c>
      <c r="B403" s="99">
        <f>Hoja1!C402</f>
        <v>0.39930555555555602</v>
      </c>
      <c r="C403" s="91" t="str">
        <f>Hoja1!D402</f>
        <v>MARIEM EL ASFOURI EL BALI</v>
      </c>
      <c r="D403" s="91" t="str">
        <f>SERGIO!G402</f>
        <v>JOSÉ MIGUEL PÉREZ PÉREZ</v>
      </c>
      <c r="E403" s="92" t="str">
        <f>Hoja1!E402</f>
        <v>HERCULES SERVICIOS GENERALES DE INTEGRACION SL</v>
      </c>
    </row>
    <row r="404" spans="1:5" ht="23" x14ac:dyDescent="0.25">
      <c r="A404" s="98">
        <f>Hoja1!B403</f>
        <v>44790</v>
      </c>
      <c r="B404" s="99">
        <f>Hoja1!C403</f>
        <v>0.39583333333333298</v>
      </c>
      <c r="C404" s="91" t="str">
        <f>Hoja1!D403</f>
        <v>ISSAM SOUSSI LAARBI</v>
      </c>
      <c r="D404" s="91" t="str">
        <f>SERGIO!G407</f>
        <v>DAVID MARÍN SÁNCHEZ</v>
      </c>
      <c r="E404" s="92" t="str">
        <f>Hoja1!E403</f>
        <v>CONSTRUCCIONES, REFORMAS Y MANTENIMIENTOS REA, S.L.</v>
      </c>
    </row>
    <row r="405" spans="1:5" x14ac:dyDescent="0.25">
      <c r="A405" s="98">
        <f>Hoja1!B404</f>
        <v>44790</v>
      </c>
      <c r="B405" s="99">
        <f>Hoja1!C404</f>
        <v>0.40277777777777801</v>
      </c>
      <c r="C405" s="91" t="str">
        <f>Hoja1!D404</f>
        <v>LAILA HAMMADI  MOHAMED</v>
      </c>
      <c r="D405" s="91" t="str">
        <f>SERGIO!G408</f>
        <v>DAVID MARÍN SÁNCHEZ</v>
      </c>
      <c r="E405" s="92" t="str">
        <f>Hoja1!E404</f>
        <v>CENTRO ASISTENCIAL DE MELILLA</v>
      </c>
    </row>
    <row r="406" spans="1:5" x14ac:dyDescent="0.25">
      <c r="A406" s="98">
        <f>Hoja1!B405</f>
        <v>44790</v>
      </c>
      <c r="B406" s="99">
        <f>Hoja1!C405</f>
        <v>0.40625</v>
      </c>
      <c r="C406" s="91" t="str">
        <f>Hoja1!D405</f>
        <v>MIMUN MIMUN MOHAMED</v>
      </c>
      <c r="D406" s="91" t="str">
        <f>SERGIO!G409</f>
        <v>DANIEL TEBAR CARMONA</v>
      </c>
      <c r="E406" s="92" t="str">
        <f>Hoja1!E405</f>
        <v>CLUB INTERGYM MELILLA</v>
      </c>
    </row>
    <row r="407" spans="1:5" x14ac:dyDescent="0.25">
      <c r="A407" s="98">
        <f>Hoja1!B406</f>
        <v>44790</v>
      </c>
      <c r="B407" s="99">
        <f>Hoja1!C406</f>
        <v>0.40972222222222199</v>
      </c>
      <c r="C407" s="91" t="str">
        <f>Hoja1!D406</f>
        <v>JOSE LUIS GALLEGO BELLIDO</v>
      </c>
      <c r="D407" s="91" t="str">
        <f>SERGIO!G411</f>
        <v>JOAQUIN GARCIA ANGOSTO</v>
      </c>
      <c r="E407" s="92" t="str">
        <f>Hoja1!E406</f>
        <v>SECURITAS SEGURIDAD ESPAÑA SA</v>
      </c>
    </row>
    <row r="408" spans="1:5" ht="23" x14ac:dyDescent="0.25">
      <c r="A408" s="98">
        <f>Hoja1!B407</f>
        <v>44790</v>
      </c>
      <c r="B408" s="99">
        <f>Hoja1!C407</f>
        <v>0.41319444444444398</v>
      </c>
      <c r="C408" s="91" t="str">
        <f>Hoja1!D407</f>
        <v>UGT</v>
      </c>
      <c r="D408" s="91" t="str">
        <f>SERGIO!G415</f>
        <v>JOAQUÍN GARCÍA ANGOSTO</v>
      </c>
      <c r="E408" s="92" t="str">
        <f>Hoja1!E407</f>
        <v>ASOCIACION DE COMERCIANTES DE MELILLA (ACOME) Y COMISIONES OBRERAS</v>
      </c>
    </row>
    <row r="409" spans="1:5" ht="23" x14ac:dyDescent="0.25">
      <c r="A409" s="98">
        <f>Hoja1!B408</f>
        <v>44797</v>
      </c>
      <c r="B409" s="99">
        <f>Hoja1!C408</f>
        <v>0.39583333333333298</v>
      </c>
      <c r="C409" s="91" t="str">
        <f>Hoja1!D408</f>
        <v>HALET DUNIA MOHAMED ABDEL-LAH</v>
      </c>
      <c r="D409" s="91" t="str">
        <f>SERGIO!G403</f>
        <v>FARID MOHAMED SAID</v>
      </c>
      <c r="E409" s="92" t="str">
        <f>Hoja1!E408</f>
        <v>MEDIA MARKT EMERGING FORMATS SL  (JUKE ENTERTAINMENT ESPAÑA SL)</v>
      </c>
    </row>
    <row r="410" spans="1:5" x14ac:dyDescent="0.25">
      <c r="A410" s="98">
        <f>Hoja1!B409</f>
        <v>44797</v>
      </c>
      <c r="B410" s="99">
        <f>Hoja1!C409</f>
        <v>0.39930555555555602</v>
      </c>
      <c r="C410" s="91" t="str">
        <f>Hoja1!D409</f>
        <v>SIHAM OUALI EL HOUARI</v>
      </c>
      <c r="D410" s="91" t="str">
        <f>SERGIO!G404</f>
        <v>JOSÉ MARÍA SÁNCHEZ CHOLBI</v>
      </c>
      <c r="E410" s="92" t="str">
        <f>Hoja1!E409</f>
        <v>ENRIQUE VALLEJO GONZALEZ</v>
      </c>
    </row>
    <row r="411" spans="1:5" x14ac:dyDescent="0.25">
      <c r="A411" s="98">
        <f>Hoja1!B410</f>
        <v>44797</v>
      </c>
      <c r="B411" s="99">
        <f>Hoja1!C410</f>
        <v>0.40277777777777801</v>
      </c>
      <c r="C411" s="91" t="str">
        <f>Hoja1!D410</f>
        <v>MOHAMED AIT BAK</v>
      </c>
      <c r="D411" s="91" t="str">
        <f>SERGIO!G405</f>
        <v>JOAQUIN GARCIA ANGOSTO</v>
      </c>
      <c r="E411" s="92" t="str">
        <f>Hoja1!E410</f>
        <v>MARZOUK BEN HADDOU</v>
      </c>
    </row>
    <row r="412" spans="1:5" ht="23" x14ac:dyDescent="0.25">
      <c r="A412" s="98">
        <f>Hoja1!B411</f>
        <v>44797</v>
      </c>
      <c r="B412" s="99">
        <f>Hoja1!C411</f>
        <v>0.40625</v>
      </c>
      <c r="C412" s="91" t="str">
        <f>Hoja1!D411</f>
        <v>NAJIMA EL BOUJADDAINI</v>
      </c>
      <c r="D412" s="91" t="str">
        <f>SERGIO!G406</f>
        <v>DAVID MARÍN SÁNCHEZ</v>
      </c>
      <c r="E412" s="92" t="str">
        <f>Hoja1!E411</f>
        <v>CATALINA CORREA PERNIA y M.ª JOSE HENCHE CORREA</v>
      </c>
    </row>
    <row r="413" spans="1:5" ht="23" x14ac:dyDescent="0.25">
      <c r="A413" s="98">
        <f>Hoja1!B412</f>
        <v>44797</v>
      </c>
      <c r="B413" s="99">
        <f>Hoja1!C412</f>
        <v>0.40972222222222199</v>
      </c>
      <c r="C413" s="91" t="str">
        <f>Hoja1!D412</f>
        <v>MOHAMED LAARBI TUHAMI</v>
      </c>
      <c r="D413" s="91" t="str">
        <f>SERGIO!G407</f>
        <v>DAVID MARÍN SÁNCHEZ</v>
      </c>
      <c r="E413" s="92" t="str">
        <f>Hoja1!E412</f>
        <v>UTE RECICLADOS MELILLA Y FRANCISCO JAVIER HITA PEDRAZA</v>
      </c>
    </row>
    <row r="414" spans="1:5" ht="34.5" x14ac:dyDescent="0.25">
      <c r="A414" s="98">
        <f>Hoja1!B413</f>
        <v>44797</v>
      </c>
      <c r="B414" s="99">
        <f>Hoja1!C413</f>
        <v>0.41319444444444398</v>
      </c>
      <c r="C414" s="91" t="str">
        <f>Hoja1!D413</f>
        <v>LAMIAA EL ALLALI</v>
      </c>
      <c r="D414" s="91" t="str">
        <f>SERGIO!G408</f>
        <v>DAVID MARÍN SÁNCHEZ</v>
      </c>
      <c r="E414" s="92" t="str">
        <f>Hoja1!E413</f>
        <v xml:space="preserve">FARMACIA COMARCAL C.B.,LISA  BOUBNANE GILHESPY , ANISA BOUBNANE GILHESPY Y MUSTAFA BOUBNANE BOUBNANE </v>
      </c>
    </row>
    <row r="415" spans="1:5" x14ac:dyDescent="0.25">
      <c r="A415" s="98">
        <f>Hoja1!B414</f>
        <v>44797</v>
      </c>
      <c r="B415" s="99">
        <f>Hoja1!C414</f>
        <v>0.41666666666666702</v>
      </c>
      <c r="C415" s="91" t="str">
        <f>Hoja1!D414</f>
        <v>INES MARIA PANEQUE MUÑOZ</v>
      </c>
      <c r="D415" s="91" t="str">
        <f>SERGIO!G409</f>
        <v>DANIEL TEBAR CARMONA</v>
      </c>
      <c r="E415" s="92" t="str">
        <f>Hoja1!E414</f>
        <v>SINDICATO UNION GENERAL DE TRABAJADORES</v>
      </c>
    </row>
    <row r="416" spans="1:5" x14ac:dyDescent="0.25">
      <c r="A416" s="98">
        <f>Hoja1!B415</f>
        <v>44797</v>
      </c>
      <c r="B416" s="99">
        <f>Hoja1!C415</f>
        <v>0.42013888888888901</v>
      </c>
      <c r="C416" s="91" t="str">
        <f>Hoja1!D415</f>
        <v>SAID KARIM AMAR</v>
      </c>
      <c r="D416" s="91" t="str">
        <f>SERGIO!G410</f>
        <v>JOSÉ MARÍA SÁNCHEZ CHOLBI</v>
      </c>
      <c r="E416" s="92" t="str">
        <f>Hoja1!E415</f>
        <v>ESTRUCTURA ESTEVEZ MELILLA SLU</v>
      </c>
    </row>
    <row r="417" spans="1:5" x14ac:dyDescent="0.25">
      <c r="A417" s="98">
        <f>Hoja1!B416</f>
        <v>44797</v>
      </c>
      <c r="B417" s="99">
        <f>Hoja1!C416</f>
        <v>0.42361111111111099</v>
      </c>
      <c r="C417" s="91" t="str">
        <f>Hoja1!D416</f>
        <v>SULIMAN ABDELKADER AL LAL</v>
      </c>
      <c r="D417" s="91" t="str">
        <f>SERGIO!G411</f>
        <v>JOAQUIN GARCIA ANGOSTO</v>
      </c>
      <c r="E417" s="92" t="str">
        <f>Hoja1!E416</f>
        <v>VALORIZA SERVICIOS MEDIOAMBIENTALES</v>
      </c>
    </row>
    <row r="418" spans="1:5" x14ac:dyDescent="0.25">
      <c r="A418" s="98">
        <f>Hoja1!B417</f>
        <v>44797</v>
      </c>
      <c r="B418" s="99">
        <f>Hoja1!C417</f>
        <v>0.42708333333333298</v>
      </c>
      <c r="C418" s="91" t="str">
        <f>Hoja1!D417</f>
        <v>MANUEL ANGEL ESCAÑO MARTINEZ</v>
      </c>
      <c r="D418" s="91" t="str">
        <f>SERGIO!G412</f>
        <v>JOAQUÍN GARCÍA ANGOSTO</v>
      </c>
      <c r="E418" s="92" t="str">
        <f>Hoja1!E417</f>
        <v>VIGCAN SEGURIDAD, S.L.</v>
      </c>
    </row>
    <row r="419" spans="1:5" x14ac:dyDescent="0.25">
      <c r="A419" s="98">
        <f>Hoja1!B418</f>
        <v>44797</v>
      </c>
      <c r="B419" s="99">
        <f>Hoja1!C418</f>
        <v>0.43055555555555602</v>
      </c>
      <c r="C419" s="91" t="str">
        <f>Hoja1!D418</f>
        <v>HAYUB MOHAND ABDEL-LAH</v>
      </c>
      <c r="D419" s="91" t="str">
        <f>SERGIO!G413</f>
        <v>JOAQUÍN GARCÍA ANGOSTO</v>
      </c>
      <c r="E419" s="92" t="str">
        <f>Hoja1!E418</f>
        <v xml:space="preserve">MEDIA MARKT EMERGING FORMATS SL  </v>
      </c>
    </row>
    <row r="420" spans="1:5" ht="23" x14ac:dyDescent="0.25">
      <c r="A420" s="98">
        <f>Hoja1!B419</f>
        <v>44796</v>
      </c>
      <c r="B420" s="99">
        <f>Hoja1!C419</f>
        <v>0.54166666666666696</v>
      </c>
      <c r="C420" s="91" t="str">
        <f>Hoja1!D419</f>
        <v>VALORIZA SERVICIOS MEDIOAMBIENTALES S.A.</v>
      </c>
      <c r="D420" s="91" t="str">
        <f>SERGIO!G414</f>
        <v>JOAQUÍN GARCÍA ANGOSTO</v>
      </c>
      <c r="E420" s="92" t="str">
        <f>Hoja1!E419</f>
        <v>COMITE DE EMPRESA, COMITE DE HUELGA, CC.OO, UGT, USTM Y CSIF</v>
      </c>
    </row>
    <row r="421" spans="1:5" x14ac:dyDescent="0.25">
      <c r="A421" s="98">
        <f>Hoja1!B420</f>
        <v>44811</v>
      </c>
      <c r="B421" s="99">
        <f>Hoja1!C420</f>
        <v>0.39583333333333298</v>
      </c>
      <c r="C421" s="91" t="str">
        <f>Hoja1!D420</f>
        <v>CRISTIAN JAVIER MOLINA OBADIA</v>
      </c>
      <c r="D421" s="91" t="str">
        <f>SERGIO!G415</f>
        <v>JOAQUÍN GARCÍA ANGOSTO</v>
      </c>
      <c r="E421" s="92" t="str">
        <f>Hoja1!E420</f>
        <v>TELEINFORMÁTICA Y COMUNICACIONES, S.A.U</v>
      </c>
    </row>
    <row r="422" spans="1:5" x14ac:dyDescent="0.25">
      <c r="A422" s="98">
        <f>Hoja1!B421</f>
        <v>44811</v>
      </c>
      <c r="B422" s="99">
        <f>Hoja1!C421</f>
        <v>0.39930555555555602</v>
      </c>
      <c r="C422" s="91" t="str">
        <f>Hoja1!D421</f>
        <v>RAFAEL BARO MONFILLO</v>
      </c>
      <c r="D422" s="91" t="str">
        <f>SERGIO!G416</f>
        <v>JOAQUÍN GARCÍA ANGOSTO</v>
      </c>
      <c r="E422" s="92" t="str">
        <f>Hoja1!E421</f>
        <v>LAZAROS E HIJOS SL, AXA SEGUROS GENERALES SA</v>
      </c>
    </row>
    <row r="423" spans="1:5" x14ac:dyDescent="0.25">
      <c r="A423" s="98">
        <f>Hoja1!B422</f>
        <v>44811</v>
      </c>
      <c r="B423" s="99">
        <f>Hoja1!C422</f>
        <v>0.40277777777777801</v>
      </c>
      <c r="C423" s="91" t="str">
        <f>Hoja1!D422</f>
        <v>ABDELHAMID EL MALKIOUI</v>
      </c>
      <c r="D423" s="91" t="str">
        <f>SERGIO!G417</f>
        <v>JOAQUÍN GARCÍA ANGOSTO</v>
      </c>
      <c r="E423" s="92" t="str">
        <f>Hoja1!E422</f>
        <v>HIMARC OBRAS Y SERVICIOS SL</v>
      </c>
    </row>
    <row r="424" spans="1:5" x14ac:dyDescent="0.25">
      <c r="A424" s="98">
        <f>Hoja1!B423</f>
        <v>44818</v>
      </c>
      <c r="B424" s="99">
        <f>Hoja1!C423</f>
        <v>0.39583333333333298</v>
      </c>
      <c r="C424" s="91" t="str">
        <f>Hoja1!D423</f>
        <v>MOHAMED BACHIRI</v>
      </c>
      <c r="D424" s="91" t="str">
        <f>SERGIO!G418</f>
        <v>JOAQUÍN PEDRERO CEBALLOS</v>
      </c>
      <c r="E424" s="92" t="str">
        <f>Hoja1!E423</f>
        <v>INMACULADA MENA LINARES</v>
      </c>
    </row>
    <row r="425" spans="1:5" x14ac:dyDescent="0.25">
      <c r="A425" s="98">
        <f>Hoja1!B424</f>
        <v>44818</v>
      </c>
      <c r="B425" s="99">
        <f>Hoja1!C424</f>
        <v>0.39930555555555602</v>
      </c>
      <c r="C425" s="91" t="str">
        <f>Hoja1!D424</f>
        <v>OUALI ZAMMOURI</v>
      </c>
      <c r="D425" s="91" t="str">
        <f>SERGIO!G419</f>
        <v>FRANCISCO JAVIER ARIAS HERRERA</v>
      </c>
      <c r="E425" s="92" t="str">
        <f>Hoja1!E424</f>
        <v>INMACULADA MENA LINARES</v>
      </c>
    </row>
    <row r="426" spans="1:5" x14ac:dyDescent="0.25">
      <c r="A426" s="98">
        <f>Hoja1!B425</f>
        <v>44818</v>
      </c>
      <c r="B426" s="99">
        <f>Hoja1!C425</f>
        <v>0.40277777777777801</v>
      </c>
      <c r="C426" s="91" t="str">
        <f>Hoja1!D425</f>
        <v>KHADIJA ZAHIRI ZAHIR</v>
      </c>
      <c r="D426" s="91" t="str">
        <f>SERGIO!G420</f>
        <v>MARÍA DEL CARMEN PALACIOS COBO</v>
      </c>
      <c r="E426" s="92" t="str">
        <f>Hoja1!E425</f>
        <v>INMACULADA MENA LINARES</v>
      </c>
    </row>
    <row r="427" spans="1:5" ht="23" x14ac:dyDescent="0.25">
      <c r="A427" s="98">
        <f>Hoja1!B426</f>
        <v>44811</v>
      </c>
      <c r="B427" s="99">
        <f>Hoja1!C426</f>
        <v>0.41666666666666702</v>
      </c>
      <c r="C427" s="91" t="str">
        <f>Hoja1!D426</f>
        <v>MOHAMED SAKKALI KAMBOUAI</v>
      </c>
      <c r="D427" s="91" t="str">
        <f>SERGIO!G421</f>
        <v>JOAQUÍN GARCÍA ANGOSTO</v>
      </c>
      <c r="E427" s="92" t="str">
        <f>Hoja1!E426</f>
        <v>EXCAVACIONES VENEGAS, S.L. Y ESFAES CONSTRUCCIONES, S.L. UTE</v>
      </c>
    </row>
    <row r="428" spans="1:5" ht="23" x14ac:dyDescent="0.25">
      <c r="A428" s="98">
        <f>Hoja1!B427</f>
        <v>44811</v>
      </c>
      <c r="B428" s="99">
        <f>Hoja1!C427</f>
        <v>0.42013888888888901</v>
      </c>
      <c r="C428" s="91" t="str">
        <f>Hoja1!D427</f>
        <v>DRISS FIRAOUN</v>
      </c>
      <c r="D428" s="91" t="str">
        <f>SERGIO!G422</f>
        <v>JOAQUÍN GARCÍA ANGOSTO</v>
      </c>
      <c r="E428" s="92" t="str">
        <f>Hoja1!E427</f>
        <v>EXCAVACIONES VENEGAS, S.L. Y ESFAES CONSTRUCCIONES, S.L. UTE</v>
      </c>
    </row>
    <row r="429" spans="1:5" ht="23" x14ac:dyDescent="0.25">
      <c r="A429" s="98">
        <f>Hoja1!B428</f>
        <v>44818</v>
      </c>
      <c r="B429" s="99">
        <f>Hoja1!C428</f>
        <v>0.41319444444444398</v>
      </c>
      <c r="C429" s="91" t="str">
        <f>Hoja1!D428</f>
        <v>HOUSSAINE DABBOUZ</v>
      </c>
      <c r="D429" s="91" t="str">
        <f>SERGIO!G423</f>
        <v>JOAQUÍN PEDRERO CEBALLOS</v>
      </c>
      <c r="E429" s="92" t="str">
        <f>Hoja1!E428</f>
        <v>CAFÉ Y PIZZA LOVE, C.B., YOUSSEF AL HAMOUTI BOUBNAN Y MOHAMED SAMAR</v>
      </c>
    </row>
    <row r="430" spans="1:5" ht="23" x14ac:dyDescent="0.25">
      <c r="A430" s="98">
        <f>Hoja1!B429</f>
        <v>44811</v>
      </c>
      <c r="B430" s="99">
        <f>Hoja1!C429</f>
        <v>0.40625</v>
      </c>
      <c r="C430" s="91" t="str">
        <f>Hoja1!D429</f>
        <v>IDIR OUBASSOU</v>
      </c>
      <c r="D430" s="100" t="str">
        <f>SERGIO!G424</f>
        <v>DAVID MARÍN SÁNCHEZ</v>
      </c>
      <c r="E430" s="92" t="str">
        <f>Hoja1!E429</f>
        <v>EXCAVACIONES VENEGAS, S.L. Y ESFAES CONSTRUCCIONES, S.L. UTE</v>
      </c>
    </row>
    <row r="431" spans="1:5" ht="23" x14ac:dyDescent="0.25">
      <c r="A431" s="98">
        <f>Hoja1!B430</f>
        <v>44811</v>
      </c>
      <c r="B431" s="99">
        <f>Hoja1!C430</f>
        <v>0.40972222222222199</v>
      </c>
      <c r="C431" s="91" t="str">
        <f>Hoja1!D430</f>
        <v>ABDELAZIZ AMAQRAN</v>
      </c>
      <c r="D431" s="100" t="str">
        <f>SERGIO!G425</f>
        <v>JOSÉ MARÍA IGNACIO SÁNCHEZ CHOLBI</v>
      </c>
      <c r="E431" s="92" t="str">
        <f>Hoja1!E430</f>
        <v>EXCAVACIONES VENEGAS, S.L. Y ESFAES CONSTRUCCIONES, S.L. UTE</v>
      </c>
    </row>
    <row r="432" spans="1:5" x14ac:dyDescent="0.25">
      <c r="A432" s="98">
        <f>Hoja1!B431</f>
        <v>44818</v>
      </c>
      <c r="B432" s="99">
        <f>Hoja1!C431</f>
        <v>0.40625</v>
      </c>
      <c r="C432" s="91" t="str">
        <f>Hoja1!D431</f>
        <v>SIHAM OUALI EL HOUARI</v>
      </c>
      <c r="D432" s="100" t="str">
        <f>SERGIO!G426</f>
        <v>ABDELMAYID SAID DRIS</v>
      </c>
      <c r="E432" s="92" t="str">
        <f>Hoja1!E431</f>
        <v>ENRIQUE VALLEJO GONZÁLVEZ</v>
      </c>
    </row>
    <row r="433" spans="1:5" x14ac:dyDescent="0.25">
      <c r="A433" s="98">
        <f>Hoja1!B432</f>
        <v>44811</v>
      </c>
      <c r="B433" s="99">
        <f>Hoja1!C432</f>
        <v>0.41319444444444398</v>
      </c>
      <c r="C433" s="91" t="str">
        <f>Hoja1!D432</f>
        <v>ANTONIO MARTÍNEZ VERDÚ</v>
      </c>
      <c r="D433" s="100" t="str">
        <f>SERGIO!G427</f>
        <v>JOAQUÍN GARCÍA ANGOSTO</v>
      </c>
      <c r="E433" s="92" t="str">
        <f>Hoja1!E432</f>
        <v>DISTRIBUCIONES CARBÓNICAS DE MELILLA, S.L.</v>
      </c>
    </row>
    <row r="434" spans="1:5" ht="23" x14ac:dyDescent="0.25">
      <c r="A434" s="98">
        <f>Hoja1!B433</f>
        <v>44811</v>
      </c>
      <c r="B434" s="99">
        <f>Hoja1!C433</f>
        <v>0.42708333333333298</v>
      </c>
      <c r="C434" s="91" t="str">
        <f>Hoja1!D433</f>
        <v>AHMED BACHAOU CHAOUI</v>
      </c>
      <c r="D434" s="100" t="str">
        <f>SERGIO!G428</f>
        <v>FARID MOHAMED SAID</v>
      </c>
      <c r="E434" s="92" t="str">
        <f>Hoja1!E433</f>
        <v>COMUNIDAD DE PROPIETARIOS POLÍGONO INDUSTRIAL LAS MARGARITAS</v>
      </c>
    </row>
    <row r="435" spans="1:5" ht="23" x14ac:dyDescent="0.25">
      <c r="A435" s="98">
        <f>Hoja1!B434</f>
        <v>44818</v>
      </c>
      <c r="B435" s="99">
        <f>Hoja1!C434</f>
        <v>0.40972222222222199</v>
      </c>
      <c r="C435" s="91" t="str">
        <f>Hoja1!D434</f>
        <v>MOHAMED EL MOUSSAOUI ARDOUZ</v>
      </c>
      <c r="D435" s="100" t="str">
        <f>SERGIO!G429</f>
        <v>MARTA ALONSO SALGADO</v>
      </c>
      <c r="E435" s="92" t="str">
        <f>Hoja1!E434</f>
        <v>ABDELAZIZ MUSTAFA MIZZIAN Y MUSTAFA MIZZIAN E HIJOS, S.L.</v>
      </c>
    </row>
    <row r="436" spans="1:5" x14ac:dyDescent="0.25">
      <c r="A436" s="98"/>
      <c r="B436" s="101"/>
    </row>
    <row r="437" spans="1:5" x14ac:dyDescent="0.25">
      <c r="A437" s="98"/>
      <c r="B437" s="101"/>
    </row>
    <row r="438" spans="1:5" x14ac:dyDescent="0.25">
      <c r="A438" s="98"/>
      <c r="B438" s="101"/>
    </row>
    <row r="439" spans="1:5" x14ac:dyDescent="0.25">
      <c r="A439" s="98"/>
      <c r="B439" s="101"/>
    </row>
    <row r="440" spans="1:5" x14ac:dyDescent="0.25">
      <c r="A440" s="98"/>
      <c r="B440" s="101"/>
    </row>
    <row r="441" spans="1:5" x14ac:dyDescent="0.25">
      <c r="A441" s="98"/>
      <c r="B441" s="101"/>
    </row>
    <row r="442" spans="1:5" x14ac:dyDescent="0.25">
      <c r="A442" s="98"/>
      <c r="B442" s="101"/>
    </row>
    <row r="443" spans="1:5" x14ac:dyDescent="0.25">
      <c r="A443" s="98"/>
      <c r="B443" s="101"/>
    </row>
    <row r="444" spans="1:5" x14ac:dyDescent="0.25">
      <c r="A444" s="98"/>
      <c r="B444" s="101"/>
    </row>
    <row r="445" spans="1:5" x14ac:dyDescent="0.25">
      <c r="A445" s="98"/>
      <c r="B445" s="101"/>
    </row>
    <row r="446" spans="1:5" x14ac:dyDescent="0.25">
      <c r="A446" s="98"/>
      <c r="B446" s="101"/>
    </row>
    <row r="447" spans="1:5" x14ac:dyDescent="0.25">
      <c r="A447" s="98"/>
      <c r="B447" s="101"/>
    </row>
    <row r="448" spans="1:5" x14ac:dyDescent="0.25">
      <c r="A448" s="98"/>
      <c r="B448" s="101"/>
    </row>
    <row r="449" spans="1:2" x14ac:dyDescent="0.25">
      <c r="A449" s="98"/>
      <c r="B449" s="101"/>
    </row>
    <row r="450" spans="1:2" x14ac:dyDescent="0.25">
      <c r="A450" s="98"/>
      <c r="B450" s="101"/>
    </row>
    <row r="451" spans="1:2" x14ac:dyDescent="0.25">
      <c r="A451" s="98"/>
      <c r="B451" s="101"/>
    </row>
    <row r="452" spans="1:2" x14ac:dyDescent="0.25">
      <c r="A452" s="98"/>
      <c r="B452" s="101"/>
    </row>
    <row r="453" spans="1:2" x14ac:dyDescent="0.25">
      <c r="A453" s="98"/>
      <c r="B453" s="101"/>
    </row>
    <row r="454" spans="1:2" x14ac:dyDescent="0.25">
      <c r="A454" s="98"/>
      <c r="B454" s="101"/>
    </row>
    <row r="455" spans="1:2" x14ac:dyDescent="0.25">
      <c r="A455" s="98"/>
      <c r="B455" s="101"/>
    </row>
    <row r="456" spans="1:2" x14ac:dyDescent="0.25">
      <c r="A456" s="98"/>
      <c r="B456" s="101"/>
    </row>
    <row r="457" spans="1:2" x14ac:dyDescent="0.25">
      <c r="A457" s="98"/>
      <c r="B457" s="101"/>
    </row>
    <row r="458" spans="1:2" x14ac:dyDescent="0.25">
      <c r="A458" s="98"/>
      <c r="B458" s="101"/>
    </row>
    <row r="459" spans="1:2" x14ac:dyDescent="0.25">
      <c r="A459" s="98"/>
      <c r="B459" s="101"/>
    </row>
    <row r="460" spans="1:2" x14ac:dyDescent="0.25">
      <c r="A460" s="98"/>
      <c r="B460" s="101"/>
    </row>
    <row r="461" spans="1:2" x14ac:dyDescent="0.25">
      <c r="A461" s="98"/>
      <c r="B461" s="101"/>
    </row>
    <row r="462" spans="1:2" x14ac:dyDescent="0.25">
      <c r="A462" s="98"/>
      <c r="B462" s="101"/>
    </row>
    <row r="463" spans="1:2" x14ac:dyDescent="0.25">
      <c r="A463" s="98"/>
      <c r="B463" s="101"/>
    </row>
    <row r="464" spans="1:2" x14ac:dyDescent="0.25">
      <c r="A464" s="98"/>
      <c r="B464" s="101"/>
    </row>
    <row r="465" spans="1:2" x14ac:dyDescent="0.25">
      <c r="A465" s="98"/>
      <c r="B465" s="101"/>
    </row>
    <row r="466" spans="1:2" x14ac:dyDescent="0.25">
      <c r="A466" s="98"/>
      <c r="B466" s="101"/>
    </row>
    <row r="467" spans="1:2" x14ac:dyDescent="0.25">
      <c r="A467" s="98"/>
      <c r="B467" s="101"/>
    </row>
    <row r="468" spans="1:2" x14ac:dyDescent="0.25">
      <c r="A468" s="98"/>
      <c r="B468" s="101"/>
    </row>
    <row r="469" spans="1:2" x14ac:dyDescent="0.25">
      <c r="A469" s="98"/>
      <c r="B469" s="101"/>
    </row>
    <row r="470" spans="1:2" x14ac:dyDescent="0.25">
      <c r="A470" s="98"/>
      <c r="B470" s="101"/>
    </row>
    <row r="471" spans="1:2" x14ac:dyDescent="0.25">
      <c r="A471" s="98"/>
      <c r="B471" s="101"/>
    </row>
    <row r="472" spans="1:2" x14ac:dyDescent="0.25">
      <c r="A472" s="98"/>
      <c r="B472" s="101"/>
    </row>
    <row r="473" spans="1:2" x14ac:dyDescent="0.25">
      <c r="A473" s="98"/>
      <c r="B473" s="101"/>
    </row>
    <row r="474" spans="1:2" x14ac:dyDescent="0.25">
      <c r="A474" s="98"/>
      <c r="B474" s="101"/>
    </row>
    <row r="475" spans="1:2" x14ac:dyDescent="0.25">
      <c r="A475" s="98"/>
      <c r="B475" s="101"/>
    </row>
    <row r="476" spans="1:2" x14ac:dyDescent="0.25">
      <c r="A476" s="98"/>
      <c r="B476" s="101"/>
    </row>
    <row r="477" spans="1:2" x14ac:dyDescent="0.25">
      <c r="A477" s="98"/>
      <c r="B477" s="101"/>
    </row>
    <row r="478" spans="1:2" x14ac:dyDescent="0.25">
      <c r="A478" s="98"/>
      <c r="B478" s="101"/>
    </row>
    <row r="479" spans="1:2" x14ac:dyDescent="0.25">
      <c r="A479" s="98"/>
      <c r="B479" s="101"/>
    </row>
    <row r="480" spans="1:2" x14ac:dyDescent="0.25">
      <c r="A480" s="98"/>
      <c r="B480" s="101"/>
    </row>
    <row r="481" spans="1:2" x14ac:dyDescent="0.25">
      <c r="A481" s="98"/>
      <c r="B481" s="101"/>
    </row>
    <row r="482" spans="1:2" x14ac:dyDescent="0.25">
      <c r="A482" s="98"/>
      <c r="B482" s="101"/>
    </row>
    <row r="483" spans="1:2" x14ac:dyDescent="0.25">
      <c r="A483" s="98"/>
      <c r="B483" s="101"/>
    </row>
    <row r="484" spans="1:2" x14ac:dyDescent="0.25">
      <c r="A484" s="98"/>
      <c r="B484" s="101"/>
    </row>
    <row r="485" spans="1:2" x14ac:dyDescent="0.25">
      <c r="A485" s="98"/>
      <c r="B485" s="101"/>
    </row>
    <row r="486" spans="1:2" x14ac:dyDescent="0.25">
      <c r="A486" s="98"/>
      <c r="B486" s="101"/>
    </row>
    <row r="487" spans="1:2" x14ac:dyDescent="0.25">
      <c r="A487" s="98"/>
      <c r="B487" s="101"/>
    </row>
    <row r="488" spans="1:2" x14ac:dyDescent="0.25">
      <c r="A488" s="98"/>
      <c r="B488" s="101"/>
    </row>
    <row r="489" spans="1:2" x14ac:dyDescent="0.25">
      <c r="A489" s="98"/>
      <c r="B489" s="101"/>
    </row>
    <row r="490" spans="1:2" x14ac:dyDescent="0.25">
      <c r="A490" s="98"/>
      <c r="B490" s="101"/>
    </row>
    <row r="491" spans="1:2" x14ac:dyDescent="0.25">
      <c r="A491" s="98"/>
      <c r="B491" s="101"/>
    </row>
    <row r="492" spans="1:2" x14ac:dyDescent="0.25">
      <c r="A492" s="98"/>
      <c r="B492" s="101"/>
    </row>
    <row r="493" spans="1:2" x14ac:dyDescent="0.25">
      <c r="A493" s="98"/>
      <c r="B493" s="101"/>
    </row>
    <row r="494" spans="1:2" x14ac:dyDescent="0.25">
      <c r="A494" s="98"/>
      <c r="B494" s="101"/>
    </row>
    <row r="495" spans="1:2" x14ac:dyDescent="0.25">
      <c r="A495" s="98"/>
      <c r="B495" s="101"/>
    </row>
    <row r="496" spans="1:2" x14ac:dyDescent="0.25">
      <c r="A496" s="98"/>
      <c r="B496" s="101"/>
    </row>
    <row r="497" spans="1:2" x14ac:dyDescent="0.25">
      <c r="A497" s="98"/>
      <c r="B497" s="101"/>
    </row>
    <row r="498" spans="1:2" x14ac:dyDescent="0.25">
      <c r="A498" s="98"/>
      <c r="B498" s="101"/>
    </row>
    <row r="499" spans="1:2" x14ac:dyDescent="0.25">
      <c r="A499" s="98"/>
      <c r="B499" s="101"/>
    </row>
    <row r="500" spans="1:2" x14ac:dyDescent="0.25">
      <c r="A500" s="98"/>
      <c r="B500" s="101"/>
    </row>
    <row r="501" spans="1:2" x14ac:dyDescent="0.25">
      <c r="A501" s="98"/>
      <c r="B501" s="101"/>
    </row>
    <row r="502" spans="1:2" x14ac:dyDescent="0.25">
      <c r="A502" s="98"/>
      <c r="B502" s="101"/>
    </row>
    <row r="503" spans="1:2" x14ac:dyDescent="0.25">
      <c r="A503" s="98"/>
      <c r="B503" s="101"/>
    </row>
    <row r="504" spans="1:2" x14ac:dyDescent="0.25">
      <c r="A504" s="98"/>
      <c r="B504" s="101"/>
    </row>
    <row r="505" spans="1:2" x14ac:dyDescent="0.25">
      <c r="A505" s="98"/>
      <c r="B505" s="101"/>
    </row>
    <row r="506" spans="1:2" x14ac:dyDescent="0.25">
      <c r="A506" s="98"/>
      <c r="B506" s="101"/>
    </row>
    <row r="507" spans="1:2" x14ac:dyDescent="0.25">
      <c r="A507" s="98"/>
      <c r="B507" s="101"/>
    </row>
    <row r="508" spans="1:2" x14ac:dyDescent="0.25">
      <c r="A508" s="98"/>
      <c r="B508" s="101"/>
    </row>
    <row r="509" spans="1:2" x14ac:dyDescent="0.25">
      <c r="A509" s="98"/>
      <c r="B509" s="101"/>
    </row>
    <row r="510" spans="1:2" x14ac:dyDescent="0.25">
      <c r="A510" s="98"/>
      <c r="B510" s="101"/>
    </row>
    <row r="511" spans="1:2" x14ac:dyDescent="0.25">
      <c r="A511" s="98"/>
      <c r="B511" s="101"/>
    </row>
    <row r="512" spans="1:2" x14ac:dyDescent="0.25">
      <c r="A512" s="98"/>
      <c r="B512" s="101"/>
    </row>
    <row r="513" spans="1:2" x14ac:dyDescent="0.25">
      <c r="A513" s="98"/>
      <c r="B513" s="101"/>
    </row>
    <row r="514" spans="1:2" x14ac:dyDescent="0.25">
      <c r="A514" s="98"/>
      <c r="B514" s="101"/>
    </row>
    <row r="515" spans="1:2" x14ac:dyDescent="0.25">
      <c r="A515" s="98"/>
      <c r="B515" s="101"/>
    </row>
    <row r="516" spans="1:2" x14ac:dyDescent="0.25">
      <c r="A516" s="98"/>
      <c r="B516" s="101"/>
    </row>
    <row r="517" spans="1:2" x14ac:dyDescent="0.25">
      <c r="A517" s="98"/>
      <c r="B517" s="101"/>
    </row>
    <row r="518" spans="1:2" x14ac:dyDescent="0.25">
      <c r="A518" s="98"/>
      <c r="B518" s="101"/>
    </row>
    <row r="519" spans="1:2" x14ac:dyDescent="0.25">
      <c r="A519" s="98"/>
      <c r="B519" s="101"/>
    </row>
    <row r="520" spans="1:2" x14ac:dyDescent="0.25">
      <c r="A520" s="98"/>
      <c r="B520" s="101"/>
    </row>
    <row r="521" spans="1:2" x14ac:dyDescent="0.25">
      <c r="A521" s="98"/>
      <c r="B521" s="101"/>
    </row>
    <row r="522" spans="1:2" x14ac:dyDescent="0.25">
      <c r="A522" s="98"/>
      <c r="B522" s="101"/>
    </row>
    <row r="523" spans="1:2" x14ac:dyDescent="0.25">
      <c r="A523" s="98"/>
      <c r="B523" s="101"/>
    </row>
    <row r="524" spans="1:2" x14ac:dyDescent="0.25">
      <c r="A524" s="98"/>
      <c r="B524" s="101"/>
    </row>
    <row r="525" spans="1:2" x14ac:dyDescent="0.25">
      <c r="A525" s="98"/>
      <c r="B525" s="101"/>
    </row>
    <row r="526" spans="1:2" x14ac:dyDescent="0.25">
      <c r="A526" s="98"/>
      <c r="B526" s="101"/>
    </row>
    <row r="527" spans="1:2" x14ac:dyDescent="0.25">
      <c r="A527" s="98"/>
      <c r="B527" s="101"/>
    </row>
    <row r="528" spans="1:2" x14ac:dyDescent="0.25">
      <c r="A528" s="98"/>
      <c r="B528" s="101"/>
    </row>
    <row r="529" spans="1:2" x14ac:dyDescent="0.25">
      <c r="A529" s="98"/>
      <c r="B529" s="101"/>
    </row>
    <row r="530" spans="1:2" x14ac:dyDescent="0.25">
      <c r="A530" s="98"/>
      <c r="B530" s="101"/>
    </row>
    <row r="531" spans="1:2" x14ac:dyDescent="0.25">
      <c r="A531" s="98"/>
      <c r="B531" s="101"/>
    </row>
    <row r="532" spans="1:2" x14ac:dyDescent="0.25">
      <c r="A532" s="98"/>
      <c r="B532" s="101"/>
    </row>
    <row r="533" spans="1:2" x14ac:dyDescent="0.25">
      <c r="A533" s="98"/>
      <c r="B533" s="101"/>
    </row>
    <row r="534" spans="1:2" x14ac:dyDescent="0.25">
      <c r="A534" s="98"/>
      <c r="B534" s="101"/>
    </row>
    <row r="535" spans="1:2" x14ac:dyDescent="0.25">
      <c r="A535" s="98"/>
      <c r="B535" s="101"/>
    </row>
    <row r="536" spans="1:2" x14ac:dyDescent="0.25">
      <c r="A536" s="98"/>
      <c r="B536" s="101"/>
    </row>
    <row r="537" spans="1:2" x14ac:dyDescent="0.25">
      <c r="A537" s="98"/>
      <c r="B537" s="101"/>
    </row>
    <row r="538" spans="1:2" x14ac:dyDescent="0.25">
      <c r="A538" s="98"/>
      <c r="B538" s="101"/>
    </row>
    <row r="539" spans="1:2" x14ac:dyDescent="0.25">
      <c r="A539" s="98"/>
      <c r="B539" s="101"/>
    </row>
    <row r="540" spans="1:2" x14ac:dyDescent="0.25">
      <c r="A540" s="98"/>
      <c r="B540" s="101"/>
    </row>
    <row r="541" spans="1:2" x14ac:dyDescent="0.25">
      <c r="A541" s="98"/>
      <c r="B541" s="101"/>
    </row>
    <row r="542" spans="1:2" x14ac:dyDescent="0.25">
      <c r="A542" s="98"/>
      <c r="B542" s="101"/>
    </row>
    <row r="543" spans="1:2" x14ac:dyDescent="0.25">
      <c r="A543" s="98"/>
      <c r="B543" s="101"/>
    </row>
    <row r="544" spans="1:2" x14ac:dyDescent="0.25">
      <c r="A544" s="98"/>
      <c r="B544" s="101"/>
    </row>
    <row r="545" spans="1:2" x14ac:dyDescent="0.25">
      <c r="A545" s="98"/>
      <c r="B545" s="101"/>
    </row>
    <row r="546" spans="1:2" x14ac:dyDescent="0.25">
      <c r="A546" s="98"/>
      <c r="B546" s="101"/>
    </row>
    <row r="547" spans="1:2" x14ac:dyDescent="0.25">
      <c r="A547" s="98"/>
      <c r="B547" s="101"/>
    </row>
    <row r="548" spans="1:2" x14ac:dyDescent="0.25">
      <c r="A548" s="98"/>
      <c r="B548" s="101"/>
    </row>
    <row r="549" spans="1:2" x14ac:dyDescent="0.25">
      <c r="A549" s="98"/>
      <c r="B549" s="101"/>
    </row>
    <row r="550" spans="1:2" x14ac:dyDescent="0.25">
      <c r="A550" s="98"/>
      <c r="B550" s="101"/>
    </row>
    <row r="551" spans="1:2" x14ac:dyDescent="0.25">
      <c r="A551" s="98"/>
      <c r="B551" s="101"/>
    </row>
    <row r="552" spans="1:2" x14ac:dyDescent="0.25">
      <c r="A552" s="98"/>
      <c r="B552" s="101"/>
    </row>
    <row r="553" spans="1:2" x14ac:dyDescent="0.25">
      <c r="A553" s="98"/>
      <c r="B553" s="101"/>
    </row>
    <row r="554" spans="1:2" x14ac:dyDescent="0.25">
      <c r="A554" s="98"/>
      <c r="B554" s="101"/>
    </row>
    <row r="555" spans="1:2" x14ac:dyDescent="0.25">
      <c r="A555" s="98"/>
      <c r="B555" s="101"/>
    </row>
    <row r="556" spans="1:2" x14ac:dyDescent="0.25">
      <c r="A556" s="98"/>
      <c r="B556" s="101"/>
    </row>
    <row r="557" spans="1:2" x14ac:dyDescent="0.25">
      <c r="A557" s="98"/>
      <c r="B557" s="101"/>
    </row>
    <row r="558" spans="1:2" x14ac:dyDescent="0.25">
      <c r="A558" s="98"/>
      <c r="B558" s="101"/>
    </row>
    <row r="559" spans="1:2" x14ac:dyDescent="0.25">
      <c r="A559" s="98"/>
      <c r="B559" s="101"/>
    </row>
    <row r="560" spans="1:2" x14ac:dyDescent="0.25">
      <c r="A560" s="98"/>
      <c r="B560" s="101"/>
    </row>
    <row r="561" spans="1:2" x14ac:dyDescent="0.25">
      <c r="A561" s="98"/>
      <c r="B561" s="101"/>
    </row>
    <row r="562" spans="1:2" x14ac:dyDescent="0.25">
      <c r="A562" s="98"/>
      <c r="B562" s="101"/>
    </row>
    <row r="563" spans="1:2" x14ac:dyDescent="0.25">
      <c r="A563" s="98"/>
      <c r="B563" s="101"/>
    </row>
    <row r="564" spans="1:2" x14ac:dyDescent="0.25">
      <c r="A564" s="98"/>
      <c r="B564" s="101"/>
    </row>
    <row r="565" spans="1:2" x14ac:dyDescent="0.25">
      <c r="A565" s="98"/>
      <c r="B565" s="101"/>
    </row>
    <row r="566" spans="1:2" x14ac:dyDescent="0.25">
      <c r="A566" s="98"/>
      <c r="B566" s="101"/>
    </row>
    <row r="567" spans="1:2" x14ac:dyDescent="0.25">
      <c r="A567" s="98"/>
      <c r="B567" s="101"/>
    </row>
    <row r="568" spans="1:2" x14ac:dyDescent="0.25">
      <c r="A568" s="98"/>
      <c r="B568" s="101"/>
    </row>
    <row r="569" spans="1:2" x14ac:dyDescent="0.25">
      <c r="A569" s="98"/>
      <c r="B569" s="101"/>
    </row>
    <row r="570" spans="1:2" x14ac:dyDescent="0.25">
      <c r="A570" s="98"/>
      <c r="B570" s="101"/>
    </row>
    <row r="571" spans="1:2" x14ac:dyDescent="0.25">
      <c r="A571" s="98"/>
      <c r="B571" s="101"/>
    </row>
    <row r="572" spans="1:2" x14ac:dyDescent="0.25">
      <c r="A572" s="98"/>
      <c r="B572" s="101"/>
    </row>
    <row r="573" spans="1:2" x14ac:dyDescent="0.25">
      <c r="A573" s="98"/>
      <c r="B573" s="101"/>
    </row>
    <row r="574" spans="1:2" x14ac:dyDescent="0.25">
      <c r="A574" s="98"/>
      <c r="B574" s="101"/>
    </row>
    <row r="575" spans="1:2" x14ac:dyDescent="0.25">
      <c r="A575" s="98"/>
      <c r="B575" s="101"/>
    </row>
    <row r="576" spans="1:2" x14ac:dyDescent="0.25">
      <c r="A576" s="98"/>
      <c r="B576" s="101"/>
    </row>
    <row r="577" spans="1:2" x14ac:dyDescent="0.25">
      <c r="A577" s="98"/>
      <c r="B577" s="101"/>
    </row>
    <row r="578" spans="1:2" x14ac:dyDescent="0.25">
      <c r="A578" s="98"/>
      <c r="B578" s="101"/>
    </row>
    <row r="579" spans="1:2" x14ac:dyDescent="0.25">
      <c r="A579" s="98"/>
      <c r="B579" s="101"/>
    </row>
    <row r="580" spans="1:2" x14ac:dyDescent="0.25">
      <c r="A580" s="98"/>
      <c r="B580" s="101"/>
    </row>
    <row r="581" spans="1:2" x14ac:dyDescent="0.25">
      <c r="A581" s="98"/>
      <c r="B581" s="101"/>
    </row>
    <row r="582" spans="1:2" x14ac:dyDescent="0.25">
      <c r="A582" s="98"/>
      <c r="B582" s="101"/>
    </row>
    <row r="583" spans="1:2" x14ac:dyDescent="0.25">
      <c r="A583" s="98"/>
      <c r="B583" s="101"/>
    </row>
    <row r="584" spans="1:2" x14ac:dyDescent="0.25">
      <c r="A584" s="98"/>
      <c r="B584" s="101"/>
    </row>
    <row r="585" spans="1:2" x14ac:dyDescent="0.25">
      <c r="A585" s="98"/>
      <c r="B585" s="101"/>
    </row>
    <row r="586" spans="1:2" x14ac:dyDescent="0.25">
      <c r="A586" s="98"/>
      <c r="B586" s="101"/>
    </row>
    <row r="587" spans="1:2" x14ac:dyDescent="0.25">
      <c r="A587" s="98"/>
      <c r="B587" s="101"/>
    </row>
    <row r="588" spans="1:2" x14ac:dyDescent="0.25">
      <c r="A588" s="98"/>
      <c r="B588" s="101"/>
    </row>
    <row r="589" spans="1:2" x14ac:dyDescent="0.25">
      <c r="A589" s="98"/>
      <c r="B589" s="101"/>
    </row>
    <row r="590" spans="1:2" x14ac:dyDescent="0.25">
      <c r="A590" s="98"/>
      <c r="B590" s="101"/>
    </row>
    <row r="591" spans="1:2" x14ac:dyDescent="0.25">
      <c r="A591" s="98"/>
      <c r="B591" s="101"/>
    </row>
    <row r="592" spans="1:2" x14ac:dyDescent="0.25">
      <c r="A592" s="98"/>
      <c r="B592" s="101"/>
    </row>
    <row r="593" spans="1:2" x14ac:dyDescent="0.25">
      <c r="A593" s="98"/>
      <c r="B593" s="101"/>
    </row>
    <row r="594" spans="1:2" x14ac:dyDescent="0.25">
      <c r="A594" s="98"/>
      <c r="B594" s="101"/>
    </row>
    <row r="595" spans="1:2" x14ac:dyDescent="0.25">
      <c r="A595" s="98"/>
      <c r="B595" s="101"/>
    </row>
    <row r="596" spans="1:2" x14ac:dyDescent="0.25">
      <c r="A596" s="98"/>
      <c r="B596" s="101"/>
    </row>
  </sheetData>
  <mergeCells count="1">
    <mergeCell ref="B1:E1"/>
  </mergeCells>
  <pageMargins left="0.78749999999999998" right="0.78749999999999998" top="1.05277777777778" bottom="1.05277777777778" header="0.78749999999999998" footer="0.78749999999999998"/>
  <pageSetup paperSize="9" orientation="landscape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baseColWidth="10" defaultColWidth="10" defaultRowHeight="12.5" x14ac:dyDescent="0.25"/>
  <cols>
    <col min="3" max="3" width="28.1796875" customWidth="1"/>
    <col min="4" max="4" width="25.1796875" customWidth="1"/>
    <col min="5" max="5" width="46.54296875" customWidth="1"/>
  </cols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24226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SERGIO</vt:lpstr>
      <vt:lpstr>LISTADO CITACIONES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VICTORIA GUERRERO VILLEGAS</dc:creator>
  <dc:description/>
  <cp:lastModifiedBy>JUAN CARLOS PEÑA MERA</cp:lastModifiedBy>
  <cp:revision>2364</cp:revision>
  <cp:lastPrinted>2022-08-24T09:14:40Z</cp:lastPrinted>
  <dcterms:created xsi:type="dcterms:W3CDTF">2020-01-31T11:09:30Z</dcterms:created>
  <dcterms:modified xsi:type="dcterms:W3CDTF">2025-09-30T11:00:09Z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